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C:\Users\Darren\Desktop\zer0Media\"/>
    </mc:Choice>
  </mc:AlternateContent>
  <xr:revisionPtr revIDLastSave="0" documentId="11_A46C876A41696A4BDEB8DA0CF2B6E11EDCA14851" xr6:coauthVersionLast="47" xr6:coauthVersionMax="47" xr10:uidLastSave="{00000000-0000-0000-0000-000000000000}"/>
  <bookViews>
    <workbookView xWindow="0" yWindow="0" windowWidth="19200" windowHeight="6930" firstSheet="1" activeTab="1" xr2:uid="{00000000-000D-0000-FFFF-FFFF00000000}"/>
  </bookViews>
  <sheets>
    <sheet name="Refund Request" sheetId="1" r:id="rId1"/>
    <sheet name="SHACRSE" sheetId="2" r:id="rId2"/>
    <sheet name="TSAAREV" sheetId="3" r:id="rId3"/>
  </sheets>
  <definedNames>
    <definedName name="_xlnm._FilterDatabase" localSheetId="2" hidden="1">TSAAREV!$A$1:$Z$77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K41" i="1" l="1"/>
  <c r="J41" i="1"/>
  <c r="I39" i="1"/>
  <c r="I40" i="1"/>
  <c r="H40" i="1"/>
  <c r="F39" i="1"/>
  <c r="F40" i="1"/>
  <c r="E39" i="1"/>
  <c r="E40" i="1"/>
  <c r="D39" i="1"/>
  <c r="D40" i="1"/>
  <c r="I37" i="1" l="1"/>
  <c r="I38" i="1"/>
  <c r="F37" i="1"/>
  <c r="F38" i="1"/>
  <c r="E37" i="1"/>
  <c r="E38" i="1"/>
  <c r="D37" i="1"/>
  <c r="D38" i="1"/>
  <c r="D36" i="1" l="1"/>
  <c r="E36" i="1"/>
  <c r="F36" i="1"/>
  <c r="I36" i="1"/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5" i="1"/>
  <c r="F34" i="1"/>
  <c r="F41" i="1" l="1"/>
  <c r="E41" i="1"/>
  <c r="H41" i="1" l="1"/>
  <c r="D34" i="1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B39" i="1" l="1"/>
  <c r="C39" i="1" s="1"/>
  <c r="G39" i="1" s="1"/>
  <c r="L39" i="1" s="1"/>
  <c r="B40" i="1"/>
  <c r="C40" i="1" s="1"/>
  <c r="G40" i="1" s="1"/>
  <c r="L40" i="1" s="1"/>
  <c r="B36" i="1"/>
  <c r="C36" i="1" s="1"/>
  <c r="G36" i="1" s="1"/>
  <c r="B38" i="1"/>
  <c r="C38" i="1" s="1"/>
  <c r="G38" i="1" s="1"/>
  <c r="L38" i="1" s="1"/>
  <c r="B37" i="1"/>
  <c r="C37" i="1" s="1"/>
  <c r="G37" i="1" s="1"/>
  <c r="L37" i="1" s="1"/>
  <c r="B35" i="1"/>
  <c r="C35" i="1" s="1"/>
  <c r="B34" i="1"/>
  <c r="C34" i="1" s="1"/>
  <c r="G34" i="1" s="1"/>
  <c r="B20" i="1"/>
  <c r="C20" i="1" s="1"/>
  <c r="G20" i="1" s="1"/>
  <c r="B31" i="1"/>
  <c r="C31" i="1" s="1"/>
  <c r="G31" i="1" s="1"/>
  <c r="B19" i="1"/>
  <c r="C19" i="1" s="1"/>
  <c r="G19" i="1" s="1"/>
  <c r="B32" i="1"/>
  <c r="C32" i="1" s="1"/>
  <c r="G32" i="1" s="1"/>
  <c r="B18" i="1"/>
  <c r="C18" i="1" s="1"/>
  <c r="G18" i="1" s="1"/>
  <c r="B29" i="1"/>
  <c r="C29" i="1" s="1"/>
  <c r="G29" i="1" s="1"/>
  <c r="B17" i="1"/>
  <c r="C17" i="1" s="1"/>
  <c r="G17" i="1" s="1"/>
  <c r="B28" i="1"/>
  <c r="C28" i="1" s="1"/>
  <c r="G28" i="1" s="1"/>
  <c r="B16" i="1"/>
  <c r="C16" i="1" s="1"/>
  <c r="G16" i="1" s="1"/>
  <c r="B30" i="1"/>
  <c r="C30" i="1" s="1"/>
  <c r="G30" i="1" s="1"/>
  <c r="B27" i="1"/>
  <c r="C27" i="1" s="1"/>
  <c r="G27" i="1" s="1"/>
  <c r="B15" i="1"/>
  <c r="C15" i="1" s="1"/>
  <c r="G15" i="1" s="1"/>
  <c r="B26" i="1"/>
  <c r="C26" i="1" s="1"/>
  <c r="G26" i="1" s="1"/>
  <c r="B14" i="1"/>
  <c r="C14" i="1" s="1"/>
  <c r="G14" i="1" s="1"/>
  <c r="B13" i="1"/>
  <c r="C13" i="1" s="1"/>
  <c r="G13" i="1" s="1"/>
  <c r="B24" i="1"/>
  <c r="C24" i="1" s="1"/>
  <c r="G24" i="1" s="1"/>
  <c r="B12" i="1"/>
  <c r="C12" i="1" s="1"/>
  <c r="G12" i="1" s="1"/>
  <c r="B23" i="1"/>
  <c r="C23" i="1" s="1"/>
  <c r="G23" i="1" s="1"/>
  <c r="B11" i="1"/>
  <c r="C11" i="1" s="1"/>
  <c r="G11" i="1" s="1"/>
  <c r="B25" i="1"/>
  <c r="C25" i="1" s="1"/>
  <c r="G25" i="1" s="1"/>
  <c r="B22" i="1"/>
  <c r="C22" i="1" s="1"/>
  <c r="G22" i="1" s="1"/>
  <c r="B10" i="1"/>
  <c r="C10" i="1" s="1"/>
  <c r="G10" i="1" s="1"/>
  <c r="B21" i="1"/>
  <c r="C21" i="1" s="1"/>
  <c r="G21" i="1" s="1"/>
  <c r="B9" i="1"/>
  <c r="C9" i="1" s="1"/>
  <c r="G9" i="1" s="1"/>
  <c r="L36" i="1" l="1"/>
  <c r="L24" i="1"/>
  <c r="L16" i="1"/>
  <c r="L20" i="1"/>
  <c r="L18" i="1"/>
  <c r="L15" i="1"/>
  <c r="L19" i="1"/>
  <c r="L26" i="1"/>
  <c r="L11" i="1"/>
  <c r="L9" i="1"/>
  <c r="L10" i="1"/>
  <c r="L22" i="1" l="1"/>
  <c r="L23" i="1"/>
  <c r="L14" i="1"/>
  <c r="L13" i="1"/>
  <c r="L29" i="1"/>
  <c r="L28" i="1"/>
  <c r="L17" i="1"/>
  <c r="L27" i="1"/>
  <c r="L21" i="1"/>
  <c r="L25" i="1"/>
  <c r="L12" i="1"/>
  <c r="D35" i="1" l="1"/>
  <c r="G35" i="1" s="1"/>
  <c r="D41" i="1" l="1"/>
  <c r="B2" i="1" l="1"/>
  <c r="B1" i="1"/>
  <c r="B33" i="1" l="1"/>
  <c r="B41" i="1" s="1"/>
  <c r="C33" i="1" l="1"/>
  <c r="I27" i="1"/>
  <c r="I26" i="1"/>
  <c r="I25" i="1"/>
  <c r="I24" i="1"/>
  <c r="I22" i="1"/>
  <c r="I21" i="1"/>
  <c r="I20" i="1"/>
  <c r="I18" i="1"/>
  <c r="I17" i="1"/>
  <c r="I15" i="1"/>
  <c r="I14" i="1"/>
  <c r="I12" i="1"/>
  <c r="I11" i="1"/>
  <c r="I10" i="1"/>
  <c r="I9" i="1"/>
  <c r="C41" i="1" l="1"/>
  <c r="G33" i="1"/>
  <c r="G41" i="1" s="1"/>
  <c r="I33" i="1"/>
  <c r="I35" i="1"/>
  <c r="L35" i="1"/>
  <c r="I29" i="1"/>
  <c r="I28" i="1"/>
  <c r="I13" i="1"/>
  <c r="I30" i="1"/>
  <c r="L30" i="1"/>
  <c r="I23" i="1"/>
  <c r="I16" i="1"/>
  <c r="I19" i="1"/>
  <c r="I32" i="1"/>
  <c r="L32" i="1"/>
  <c r="I31" i="1"/>
  <c r="L31" i="1"/>
  <c r="L34" i="1"/>
  <c r="I34" i="1"/>
  <c r="L33" i="1" l="1"/>
  <c r="L41" i="1" s="1"/>
</calcChain>
</file>

<file path=xl/sharedStrings.xml><?xml version="1.0" encoding="utf-8"?>
<sst xmlns="http://schemas.openxmlformats.org/spreadsheetml/2006/main" count="2231" uniqueCount="295">
  <si>
    <t>Student Name :</t>
  </si>
  <si>
    <t>Student ID :</t>
  </si>
  <si>
    <t>E-GATE ID :</t>
  </si>
  <si>
    <t>E1981000077</t>
  </si>
  <si>
    <t>Programme :</t>
  </si>
  <si>
    <t>BSW Social Work</t>
  </si>
  <si>
    <t>Residency :</t>
  </si>
  <si>
    <t>TnT</t>
  </si>
  <si>
    <t>Date :</t>
  </si>
  <si>
    <t>Semester</t>
  </si>
  <si>
    <t>Credits</t>
  </si>
  <si>
    <t>Tuition Charged</t>
  </si>
  <si>
    <t>College Fee charged</t>
  </si>
  <si>
    <t>Other Charges</t>
  </si>
  <si>
    <t>Payment Plan Charge</t>
  </si>
  <si>
    <t>Total Fees Charged</t>
  </si>
  <si>
    <t>Total Paid By Student</t>
  </si>
  <si>
    <t>GATE Application submitted</t>
  </si>
  <si>
    <t>GATE PAYMENT</t>
  </si>
  <si>
    <t xml:space="preserve">Balance to be paid by GATE </t>
  </si>
  <si>
    <t>Balance to be paid by Student</t>
  </si>
  <si>
    <t>Comments</t>
  </si>
  <si>
    <t>Confirmed By:</t>
  </si>
  <si>
    <t>De Freitas, Celina G.</t>
  </si>
  <si>
    <t>CC</t>
  </si>
  <si>
    <t>CS</t>
  </si>
  <si>
    <t>BIOL</t>
  </si>
  <si>
    <t>C04</t>
  </si>
  <si>
    <t>C+</t>
  </si>
  <si>
    <t>C</t>
  </si>
  <si>
    <t>Intro to Concepts in Bio I</t>
  </si>
  <si>
    <t>MATH</t>
  </si>
  <si>
    <t>C09</t>
  </si>
  <si>
    <t>D+</t>
  </si>
  <si>
    <t>Pre-Algebra</t>
  </si>
  <si>
    <t>PHYS</t>
  </si>
  <si>
    <t>S01</t>
  </si>
  <si>
    <t>D</t>
  </si>
  <si>
    <t>Intro to Concepts in Physics I</t>
  </si>
  <si>
    <t>WRIT</t>
  </si>
  <si>
    <t>C05</t>
  </si>
  <si>
    <t>B</t>
  </si>
  <si>
    <t>Intro to Academic Writing II</t>
  </si>
  <si>
    <t>C01</t>
  </si>
  <si>
    <t>Intro to Concepts in Bio II</t>
  </si>
  <si>
    <t>C07</t>
  </si>
  <si>
    <t>Basic Algebra</t>
  </si>
  <si>
    <t>Intro to Academic Writing III</t>
  </si>
  <si>
    <t>UG</t>
  </si>
  <si>
    <t>COMM</t>
  </si>
  <si>
    <t>S</t>
  </si>
  <si>
    <t>Fundamentals of Writing</t>
  </si>
  <si>
    <t>C02</t>
  </si>
  <si>
    <t>W</t>
  </si>
  <si>
    <t>Intro to Concepts in Phys II</t>
  </si>
  <si>
    <t>Intro to Anatomy &amp; Physiology</t>
  </si>
  <si>
    <t>S03</t>
  </si>
  <si>
    <t>A</t>
  </si>
  <si>
    <t>Communication in the Workplace</t>
  </si>
  <si>
    <t>ENVH</t>
  </si>
  <si>
    <t>Food &amp; Food Hygiene I</t>
  </si>
  <si>
    <t>HLED</t>
  </si>
  <si>
    <t>Health Education/Promotion</t>
  </si>
  <si>
    <t>Food &amp; Food Hygiene II</t>
  </si>
  <si>
    <t>CE</t>
  </si>
  <si>
    <t>E01</t>
  </si>
  <si>
    <t>First Aid &amp; Occupational Hlth.</t>
  </si>
  <si>
    <t>F</t>
  </si>
  <si>
    <t>E</t>
  </si>
  <si>
    <t>Intermediate Algebra</t>
  </si>
  <si>
    <t>Envh Hlth Admin &amp; Legislation</t>
  </si>
  <si>
    <t>LIBS</t>
  </si>
  <si>
    <t>S04</t>
  </si>
  <si>
    <t>B+</t>
  </si>
  <si>
    <t>Fundamental Research Skills</t>
  </si>
  <si>
    <t>C03</t>
  </si>
  <si>
    <t>I</t>
  </si>
  <si>
    <t>SCIE</t>
  </si>
  <si>
    <t>S02</t>
  </si>
  <si>
    <t>Foundations of Natural Science</t>
  </si>
  <si>
    <t>Community Health I</t>
  </si>
  <si>
    <t>ENVS</t>
  </si>
  <si>
    <t>Disaster Management</t>
  </si>
  <si>
    <t>HIST</t>
  </si>
  <si>
    <t>History of Trinidad &amp; Tobago</t>
  </si>
  <si>
    <t>College Algebra</t>
  </si>
  <si>
    <t>Epidemiology</t>
  </si>
  <si>
    <t>Building Sci &amp; Construction</t>
  </si>
  <si>
    <t>Envn Issues &amp; Sustainability</t>
  </si>
  <si>
    <t>Environmental Health I</t>
  </si>
  <si>
    <t>STAT</t>
  </si>
  <si>
    <t>Fundamentals of Statistics</t>
  </si>
  <si>
    <t>Vector Control</t>
  </si>
  <si>
    <t>Environmental Health II</t>
  </si>
  <si>
    <t>Environ. Health Internship</t>
  </si>
  <si>
    <t>CH</t>
  </si>
  <si>
    <t>NURS</t>
  </si>
  <si>
    <t>H02</t>
  </si>
  <si>
    <t>Pathophysiology II</t>
  </si>
  <si>
    <t>CT</t>
  </si>
  <si>
    <t>T01</t>
  </si>
  <si>
    <t>Adult Nursing</t>
  </si>
  <si>
    <t>D01</t>
  </si>
  <si>
    <t>Nursing Informatics</t>
  </si>
  <si>
    <t>Nutrition and Disease</t>
  </si>
  <si>
    <t>Pharmacology in Nursing</t>
  </si>
  <si>
    <t>Pro. Devlpment &amp; Mgmt</t>
  </si>
  <si>
    <t>Senior Project- Nursing</t>
  </si>
  <si>
    <t>Critical Care Nursing</t>
  </si>
  <si>
    <t>Gerontology</t>
  </si>
  <si>
    <t>Level I Practical</t>
  </si>
  <si>
    <t>Clinic Exp &amp; Lvl II Prac Exm</t>
  </si>
  <si>
    <t>Clinic Exp &amp; Lvl III Prac Exm</t>
  </si>
  <si>
    <t>Mrs Celina Glenda De Freitas</t>
  </si>
  <si>
    <t>KKMARTINEAUOJT</t>
  </si>
  <si>
    <t>GATE</t>
  </si>
  <si>
    <t>GATE Payment</t>
  </si>
  <si>
    <t>F0018149</t>
  </si>
  <si>
    <t>EPUJADAS</t>
  </si>
  <si>
    <t>GATE Payment CORR</t>
  </si>
  <si>
    <t>SAISUSR</t>
  </si>
  <si>
    <t>CASH</t>
  </si>
  <si>
    <t>Cash Payment</t>
  </si>
  <si>
    <t>T</t>
  </si>
  <si>
    <t>F0004846</t>
  </si>
  <si>
    <t>FCAMERON</t>
  </si>
  <si>
    <t>MCLB</t>
  </si>
  <si>
    <t>Library Revenue</t>
  </si>
  <si>
    <t>CCPR</t>
  </si>
  <si>
    <t>City Campus-Printing Fee</t>
  </si>
  <si>
    <t>F0004838</t>
  </si>
  <si>
    <t>LBENJAMIN</t>
  </si>
  <si>
    <t>F0004796</t>
  </si>
  <si>
    <t>CCCS</t>
  </si>
  <si>
    <t>City Campus-Compass Program</t>
  </si>
  <si>
    <t>R</t>
  </si>
  <si>
    <t>F0015931</t>
  </si>
  <si>
    <t>WWW_USER</t>
  </si>
  <si>
    <t>F0015930</t>
  </si>
  <si>
    <t>LINX</t>
  </si>
  <si>
    <t>Linx Payment</t>
  </si>
  <si>
    <t>F0004315</t>
  </si>
  <si>
    <t>Y</t>
  </si>
  <si>
    <t>F0015919</t>
  </si>
  <si>
    <t>F0015913</t>
  </si>
  <si>
    <t>F0015914</t>
  </si>
  <si>
    <t>CSCS</t>
  </si>
  <si>
    <t>South Campus-Compass Program</t>
  </si>
  <si>
    <t>F0015911</t>
  </si>
  <si>
    <t>F0015910</t>
  </si>
  <si>
    <t>F0015912</t>
  </si>
  <si>
    <t>F0015908</t>
  </si>
  <si>
    <t>F0015906</t>
  </si>
  <si>
    <t>F0015909</t>
  </si>
  <si>
    <t>F0015907</t>
  </si>
  <si>
    <t>CCRG</t>
  </si>
  <si>
    <t>City Campus-Registration Fee</t>
  </si>
  <si>
    <t>CCTE</t>
  </si>
  <si>
    <t>City Campus-Technology Fee</t>
  </si>
  <si>
    <t>CCGU</t>
  </si>
  <si>
    <t>City Campus-Guild Fee</t>
  </si>
  <si>
    <t>CCAD</t>
  </si>
  <si>
    <t>City Campus-Administration Fee</t>
  </si>
  <si>
    <t>CCAC</t>
  </si>
  <si>
    <t>City Campus-Student Insurance</t>
  </si>
  <si>
    <t>F0018156</t>
  </si>
  <si>
    <t>F0015954</t>
  </si>
  <si>
    <t>KANDERSON</t>
  </si>
  <si>
    <t>CCID</t>
  </si>
  <si>
    <t>City Campus-ID Card Rep Fee</t>
  </si>
  <si>
    <t>F0005477</t>
  </si>
  <si>
    <t>F0005392</t>
  </si>
  <si>
    <t>F0015942</t>
  </si>
  <si>
    <t>KSTRACHAN</t>
  </si>
  <si>
    <t>F0006966</t>
  </si>
  <si>
    <t>F0006818</t>
  </si>
  <si>
    <t>F0006513</t>
  </si>
  <si>
    <t>CCUG</t>
  </si>
  <si>
    <t>City Campus-Undergrad Tuition</t>
  </si>
  <si>
    <t>F0015961</t>
  </si>
  <si>
    <t>LFARRAY</t>
  </si>
  <si>
    <t>JJACKOJT</t>
  </si>
  <si>
    <t>RFND</t>
  </si>
  <si>
    <t>Refund Code - AP Check</t>
  </si>
  <si>
    <t>F0011903</t>
  </si>
  <si>
    <t>CCLT</t>
  </si>
  <si>
    <t>City Campus-Late Fee</t>
  </si>
  <si>
    <t>F0010572</t>
  </si>
  <si>
    <t>F0007289</t>
  </si>
  <si>
    <t>F0007057</t>
  </si>
  <si>
    <t>F0015976</t>
  </si>
  <si>
    <t>MGORDON</t>
  </si>
  <si>
    <t>CCAP</t>
  </si>
  <si>
    <t>Re-Admission</t>
  </si>
  <si>
    <t>F0011187</t>
  </si>
  <si>
    <t>F0013736</t>
  </si>
  <si>
    <t>F0014239</t>
  </si>
  <si>
    <t>F0014170</t>
  </si>
  <si>
    <t>CSPR</t>
  </si>
  <si>
    <t>South Campus-Printing Fee</t>
  </si>
  <si>
    <t>F0014117</t>
  </si>
  <si>
    <t>NAALI</t>
  </si>
  <si>
    <t>F0014031</t>
  </si>
  <si>
    <t>CSUG</t>
  </si>
  <si>
    <t>South Campus-Undergrad Tuition</t>
  </si>
  <si>
    <t>F0013972</t>
  </si>
  <si>
    <t>AJADOONANANOJT</t>
  </si>
  <si>
    <t>AAMOHAMMEDOJT</t>
  </si>
  <si>
    <t>Transfer to 202120</t>
  </si>
  <si>
    <t>F0021631</t>
  </si>
  <si>
    <t>CSCANTERBURY</t>
  </si>
  <si>
    <t>F0014424</t>
  </si>
  <si>
    <t>APRINCE</t>
  </si>
  <si>
    <t>F0014311</t>
  </si>
  <si>
    <t>F0014305</t>
  </si>
  <si>
    <t>F0014296</t>
  </si>
  <si>
    <t>F0018131</t>
  </si>
  <si>
    <t>F0014849</t>
  </si>
  <si>
    <t>F0014796</t>
  </si>
  <si>
    <t>F0014767</t>
  </si>
  <si>
    <t>F0014708</t>
  </si>
  <si>
    <t>F0014597</t>
  </si>
  <si>
    <t>F0014536</t>
  </si>
  <si>
    <t>F0014523</t>
  </si>
  <si>
    <t>F0014492</t>
  </si>
  <si>
    <t>F0014476</t>
  </si>
  <si>
    <t>F0014477</t>
  </si>
  <si>
    <t>CEUG</t>
  </si>
  <si>
    <t>El Dorado - Undergrad Tuition</t>
  </si>
  <si>
    <t>F0014478</t>
  </si>
  <si>
    <t>F0018135</t>
  </si>
  <si>
    <t>F0015088</t>
  </si>
  <si>
    <t>F0015006</t>
  </si>
  <si>
    <t>F0015003</t>
  </si>
  <si>
    <t>F0014933</t>
  </si>
  <si>
    <t>F0014854</t>
  </si>
  <si>
    <t>F0014853</t>
  </si>
  <si>
    <t>Reversal-Administration Fee</t>
  </si>
  <si>
    <t>F0021747</t>
  </si>
  <si>
    <t>Reversal-Technology Fee</t>
  </si>
  <si>
    <t>Reversal-Registration Fee</t>
  </si>
  <si>
    <t>F0015533</t>
  </si>
  <si>
    <t>F0018136</t>
  </si>
  <si>
    <t>F0015744</t>
  </si>
  <si>
    <t>F0015641</t>
  </si>
  <si>
    <t>LCUTTING</t>
  </si>
  <si>
    <t>F0015600</t>
  </si>
  <si>
    <t>AJOHNSON</t>
  </si>
  <si>
    <t>F0015569</t>
  </si>
  <si>
    <t>F0015549</t>
  </si>
  <si>
    <t>F0015542</t>
  </si>
  <si>
    <t>F0015541</t>
  </si>
  <si>
    <t>F0015539</t>
  </si>
  <si>
    <t>F0015538</t>
  </si>
  <si>
    <t>F0015537</t>
  </si>
  <si>
    <t>F0015536</t>
  </si>
  <si>
    <t>F0015535</t>
  </si>
  <si>
    <t>F0020448</t>
  </si>
  <si>
    <t>F0017248</t>
  </si>
  <si>
    <t>HEDWARDS</t>
  </si>
  <si>
    <t>CHUG</t>
  </si>
  <si>
    <t>Chaguanas-Undergrad Tuition</t>
  </si>
  <si>
    <t>F0015812</t>
  </si>
  <si>
    <t>F0015790</t>
  </si>
  <si>
    <t>F0015763</t>
  </si>
  <si>
    <t>F0015764</t>
  </si>
  <si>
    <t>F0017488</t>
  </si>
  <si>
    <t>F0017350</t>
  </si>
  <si>
    <t>F0020485</t>
  </si>
  <si>
    <t>F0017813</t>
  </si>
  <si>
    <t>F0017540</t>
  </si>
  <si>
    <t>F0017527</t>
  </si>
  <si>
    <t>F0021239</t>
  </si>
  <si>
    <t>WVSP</t>
  </si>
  <si>
    <t>Web VISA Card Payment</t>
  </si>
  <si>
    <t>F0018005</t>
  </si>
  <si>
    <t>TOUCHNET</t>
  </si>
  <si>
    <t>F0017993</t>
  </si>
  <si>
    <t>F0017845</t>
  </si>
  <si>
    <t>F0018293</t>
  </si>
  <si>
    <t>F0021744</t>
  </si>
  <si>
    <t>GKING</t>
  </si>
  <si>
    <t>Transfer from 201730</t>
  </si>
  <si>
    <t>F0021241</t>
  </si>
  <si>
    <t>BPFB</t>
  </si>
  <si>
    <t>Bank Payment FCB Bank "36"</t>
  </si>
  <si>
    <t>F0020495</t>
  </si>
  <si>
    <t>SGARIB</t>
  </si>
  <si>
    <t>TRLD</t>
  </si>
  <si>
    <t>Transcript Req+Local Delivery</t>
  </si>
  <si>
    <t>F0020421</t>
  </si>
  <si>
    <t>F0020415</t>
  </si>
  <si>
    <t>EPAUL</t>
  </si>
  <si>
    <t>F0019126</t>
  </si>
  <si>
    <t>KAPOPE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</si>
</sst>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u val="doubleAccounting"/>
      <sz val="13"/>
      <color theme="1"/>
      <name val="Calibri"/>
      <family val="2"/>
      <scheme val="minor"/>
    </font>
    <font>
      <b/>
      <u val="doubleAccounting"/>
      <sz val="13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201F1E"/>
      <name val="Segoe U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6" applyNumberFormat="0" applyAlignment="0" applyProtection="0"/>
    <xf numFmtId="0" fontId="19" fillId="8" borderId="17" applyNumberFormat="0" applyAlignment="0" applyProtection="0"/>
    <xf numFmtId="0" fontId="20" fillId="8" borderId="16" applyNumberFormat="0" applyAlignment="0" applyProtection="0"/>
    <xf numFmtId="0" fontId="21" fillId="0" borderId="18" applyNumberFormat="0" applyFill="0" applyAlignment="0" applyProtection="0"/>
    <xf numFmtId="0" fontId="22" fillId="9" borderId="19" applyNumberFormat="0" applyAlignment="0" applyProtection="0"/>
    <xf numFmtId="0" fontId="23" fillId="0" borderId="0" applyNumberFormat="0" applyFill="0" applyBorder="0" applyAlignment="0" applyProtection="0"/>
    <xf numFmtId="0" fontId="10" fillId="10" borderId="2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21" applyNumberFormat="0" applyFill="0" applyAlignment="0" applyProtection="0"/>
    <xf numFmtId="0" fontId="26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6" fillId="34" borderId="0" applyNumberFormat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/>
    <xf numFmtId="4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5" fillId="0" borderId="1" xfId="0" applyNumberFormat="1" applyFont="1" applyBorder="1"/>
    <xf numFmtId="44" fontId="6" fillId="0" borderId="1" xfId="0" applyNumberFormat="1" applyFont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2" fontId="0" fillId="0" borderId="0" xfId="0" applyNumberForma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3" fillId="0" borderId="9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zoomScale="70" zoomScaleNormal="70" workbookViewId="0">
      <pane xSplit="1" topLeftCell="B1" activePane="topRight" state="frozen"/>
      <selection pane="topRight" activeCell="D46" sqref="D46"/>
    </sheetView>
  </sheetViews>
  <sheetFormatPr defaultColWidth="9.140625" defaultRowHeight="15.75"/>
  <cols>
    <col min="1" max="1" width="38.28515625" style="1" customWidth="1"/>
    <col min="2" max="2" width="8" style="17" customWidth="1"/>
    <col min="3" max="6" width="14.42578125" style="1" customWidth="1"/>
    <col min="7" max="8" width="23.5703125" style="1" customWidth="1"/>
    <col min="9" max="9" width="13.85546875" style="1" customWidth="1"/>
    <col min="10" max="10" width="17.85546875" style="1" customWidth="1"/>
    <col min="11" max="11" width="16" style="1" customWidth="1"/>
    <col min="12" max="12" width="17.85546875" style="1" customWidth="1"/>
    <col min="13" max="13" width="53.5703125" style="1" bestFit="1" customWidth="1"/>
    <col min="14" max="16384" width="9.140625" style="1"/>
  </cols>
  <sheetData>
    <row r="1" spans="1:13" ht="18.75">
      <c r="A1" s="2" t="s">
        <v>0</v>
      </c>
      <c r="B1" s="25" t="str">
        <f>SHACRSE!C1</f>
        <v>De Freitas, Celina G.</v>
      </c>
      <c r="C1" s="25"/>
      <c r="D1" s="26"/>
      <c r="E1" s="20"/>
      <c r="F1" s="20"/>
    </row>
    <row r="2" spans="1:13" ht="18.75">
      <c r="A2" s="3" t="s">
        <v>1</v>
      </c>
      <c r="B2" s="27" t="str">
        <f>TEXT(SHACRSE!B1,"00000000")</f>
        <v>00050666</v>
      </c>
      <c r="C2" s="28"/>
      <c r="D2" s="29"/>
      <c r="E2" s="20"/>
      <c r="F2" s="20"/>
    </row>
    <row r="3" spans="1:13" ht="18.75">
      <c r="A3" s="3" t="s">
        <v>2</v>
      </c>
      <c r="B3" s="27" t="s">
        <v>3</v>
      </c>
      <c r="C3" s="28"/>
      <c r="D3" s="29"/>
      <c r="E3" s="20"/>
      <c r="F3" s="20"/>
    </row>
    <row r="4" spans="1:13" ht="18.75">
      <c r="A4" s="3" t="s">
        <v>4</v>
      </c>
      <c r="B4" s="27" t="s">
        <v>5</v>
      </c>
      <c r="C4" s="28"/>
      <c r="D4" s="29"/>
      <c r="E4" s="20"/>
      <c r="F4" s="20"/>
      <c r="G4" s="23"/>
    </row>
    <row r="5" spans="1:13" ht="18.75">
      <c r="A5" s="3" t="s">
        <v>6</v>
      </c>
      <c r="B5" s="27" t="s">
        <v>7</v>
      </c>
      <c r="C5" s="28"/>
      <c r="D5" s="29"/>
      <c r="E5" s="20"/>
      <c r="F5" s="20"/>
    </row>
    <row r="6" spans="1:13" ht="19.5" thickBot="1">
      <c r="A6" s="4" t="s">
        <v>8</v>
      </c>
      <c r="B6" s="30">
        <v>44998</v>
      </c>
      <c r="C6" s="31"/>
      <c r="D6" s="32"/>
      <c r="E6" s="21"/>
      <c r="F6" s="21"/>
    </row>
    <row r="7" spans="1:13" ht="15" customHeight="1"/>
    <row r="8" spans="1:13" s="9" customFormat="1" ht="62.25" customHeight="1">
      <c r="A8" s="13" t="s">
        <v>9</v>
      </c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  <c r="M8" s="13" t="s">
        <v>21</v>
      </c>
    </row>
    <row r="9" spans="1:13" s="9" customFormat="1" ht="30" customHeight="1">
      <c r="A9" s="5">
        <v>201210</v>
      </c>
      <c r="B9" s="18">
        <f>SUMIF(SHACRSE!A:A,A9,SHACRSE!J:J)</f>
        <v>0</v>
      </c>
      <c r="C9" s="6">
        <f t="shared" ref="C9:C40" si="0">B9*300</f>
        <v>0</v>
      </c>
      <c r="D9" s="6">
        <f>SUMIFS(TSAAREV!D:D,TSAAREV!C:C,'Refund Request'!A9,TSAAREV!A:A,"*RG")+(SUMIFS(TSAAREV!D:D,TSAAREV!C:C,'Refund Request'!A9,TSAAREV!A:A,"*TE")+(SUMIFS(TSAAREV!D:D,TSAAREV!C:C,'Refund Request'!A9,TSAAREV!A:A,"*GU")+(SUMIFS(TSAAREV!D:D,TSAAREV!C:C,'Refund Request'!A9,TSAAREV!A:A,"*AD")+(SUMIFS(TSAAREV!D:D,TSAAREV!C:C,'Refund Request'!A9,TSAAREV!A:A,"*AC")+(SUMIFS(TSAAREV!D:D,TSAAREV!C:C,'Refund Request'!A9,TSAAREV!A:A,"*LT"))))))</f>
        <v>0</v>
      </c>
      <c r="E9" s="6">
        <f>SUMIFS(TSAAREV!D:D,TSAAREV!C:C,'Refund Request'!A9,TSAAREV!A:A,"*")-(SUMIFS(TSAAREV!D:D,TSAAREV!C:C,'Refund Request'!A9,TSAAREV!A:A,"*UG")+(SUMIFS(TSAAREV!D:D,TSAAREV!C:C,'Refund Request'!A9,TSAAREV!A:A,"PLNC")+(SUMIFS(TSAAREV!D:D,TSAAREV!C:C,'Refund Request'!A9,TSAAREV!A:A,"*CS")+(SUMIFS(TSAAREV!D:D,TSAAREV!C:C,'Refund Request'!A9,TSAAREV!A:A,"*RG")+(SUMIFS(TSAAREV!D:D,TSAAREV!C:C,'Refund Request'!A9,TSAAREV!A:A,"*TE")+(SUMIFS(TSAAREV!D:D,TSAAREV!C:C,'Refund Request'!A9,TSAAREV!A:A,"*GU")+(SUMIFS(TSAAREV!D:D,TSAAREV!C:C,'Refund Request'!A9,TSAAREV!A:A,"*AD")+(SUMIFS(TSAAREV!D:D,TSAAREV!C:C,'Refund Request'!A9,TSAAREV!A:A,"*AC")+(SUMIFS(TSAAREV!D:D,TSAAREV!C:C,'Refund Request'!A9,TSAAREV!A:A,"*LT"))))))))))</f>
        <v>0</v>
      </c>
      <c r="F9" s="6">
        <f>SUMIFS(TSAAREV!D:D,TSAAREV!C:C,'Refund Request'!A9,TSAAREV!A:A,"PLNC")</f>
        <v>0</v>
      </c>
      <c r="G9" s="6">
        <f t="shared" ref="G9:G39" si="1">SUM(C9:E9)</f>
        <v>0</v>
      </c>
      <c r="H9" s="6">
        <f>SUMIFS(TSAAREV!E:E,TSAAREV!C:C,'Refund Request'!A9)-(SUMIFS(TSAAREV!E:E,TSAAREV!C:C,'Refund Request'!A9,TSAAREV!A:A,"GATE")-(SUMIFS(TSAAREV!E:E,TSAAREV!C:C,'Refund Request'!A9,TSAAREV!A:A,"PLNP")-(SUMIFS(TSAAREV!E:E,TSAAREV!C:C,'Refund Request'!A9,TSAAREV!A:A,"PLNM"))))</f>
        <v>0</v>
      </c>
      <c r="I9" s="7" t="str">
        <f t="shared" ref="I9:I31" si="2">IF(J9&gt;0,"YES",IF(K9&gt;0,"YES","NO"))</f>
        <v>NO</v>
      </c>
      <c r="J9" s="7">
        <v>0</v>
      </c>
      <c r="K9" s="7">
        <v>0</v>
      </c>
      <c r="L9" s="6">
        <f t="shared" ref="L9:L29" si="3">(G9-H9-J9-K9)</f>
        <v>0</v>
      </c>
      <c r="M9" s="8"/>
    </row>
    <row r="10" spans="1:13" s="9" customFormat="1" ht="30" customHeight="1">
      <c r="A10" s="5">
        <v>201220</v>
      </c>
      <c r="B10" s="18">
        <f>SUMIF(SHACRSE!A:A,A10,SHACRSE!J:J)</f>
        <v>0</v>
      </c>
      <c r="C10" s="6">
        <f t="shared" si="0"/>
        <v>0</v>
      </c>
      <c r="D10" s="6">
        <f>SUMIFS(TSAAREV!D:D,TSAAREV!C:C,'Refund Request'!A10,TSAAREV!A:A,"*RG")+(SUMIFS(TSAAREV!D:D,TSAAREV!C:C,'Refund Request'!A10,TSAAREV!A:A,"*TE")+(SUMIFS(TSAAREV!D:D,TSAAREV!C:C,'Refund Request'!A10,TSAAREV!A:A,"*GU")+(SUMIFS(TSAAREV!D:D,TSAAREV!C:C,'Refund Request'!A10,TSAAREV!A:A,"*AD")+(SUMIFS(TSAAREV!D:D,TSAAREV!C:C,'Refund Request'!A10,TSAAREV!A:A,"*AC")+(SUMIFS(TSAAREV!D:D,TSAAREV!C:C,'Refund Request'!A10,TSAAREV!A:A,"*LT"))))))</f>
        <v>0</v>
      </c>
      <c r="E10" s="6">
        <f>SUMIFS(TSAAREV!D:D,TSAAREV!C:C,'Refund Request'!A10,TSAAREV!A:A,"*")-(SUMIFS(TSAAREV!D:D,TSAAREV!C:C,'Refund Request'!A10,TSAAREV!A:A,"*UG")+(SUMIFS(TSAAREV!D:D,TSAAREV!C:C,'Refund Request'!A10,TSAAREV!A:A,"PLNC")+(SUMIFS(TSAAREV!D:D,TSAAREV!C:C,'Refund Request'!A10,TSAAREV!A:A,"*CS")+(SUMIFS(TSAAREV!D:D,TSAAREV!C:C,'Refund Request'!A10,TSAAREV!A:A,"*RG")+(SUMIFS(TSAAREV!D:D,TSAAREV!C:C,'Refund Request'!A10,TSAAREV!A:A,"*TE")+(SUMIFS(TSAAREV!D:D,TSAAREV!C:C,'Refund Request'!A10,TSAAREV!A:A,"*GU")+(SUMIFS(TSAAREV!D:D,TSAAREV!C:C,'Refund Request'!A10,TSAAREV!A:A,"*AD")+(SUMIFS(TSAAREV!D:D,TSAAREV!C:C,'Refund Request'!A10,TSAAREV!A:A,"*AC")+(SUMIFS(TSAAREV!D:D,TSAAREV!C:C,'Refund Request'!A10,TSAAREV!A:A,"*LT"))))))))))</f>
        <v>0</v>
      </c>
      <c r="F10" s="6">
        <f>SUMIFS(TSAAREV!D:D,TSAAREV!C:C,'Refund Request'!A10,TSAAREV!A:A,"PLNC")</f>
        <v>0</v>
      </c>
      <c r="G10" s="6">
        <f t="shared" si="1"/>
        <v>0</v>
      </c>
      <c r="H10" s="6">
        <f>SUMIFS(TSAAREV!E:E,TSAAREV!C:C,'Refund Request'!A10)-(SUMIFS(TSAAREV!E:E,TSAAREV!C:C,'Refund Request'!A10,TSAAREV!A:A,"GATE")-(SUMIFS(TSAAREV!E:E,TSAAREV!C:C,'Refund Request'!A10,TSAAREV!A:A,"PLNP")-(SUMIFS(TSAAREV!E:E,TSAAREV!C:C,'Refund Request'!A10,TSAAREV!A:A,"PLNM"))))</f>
        <v>0</v>
      </c>
      <c r="I10" s="7" t="str">
        <f t="shared" si="2"/>
        <v>NO</v>
      </c>
      <c r="J10" s="7">
        <v>0</v>
      </c>
      <c r="K10" s="7">
        <v>0</v>
      </c>
      <c r="L10" s="6">
        <f t="shared" si="3"/>
        <v>0</v>
      </c>
      <c r="M10" s="8"/>
    </row>
    <row r="11" spans="1:13" s="9" customFormat="1" ht="30" customHeight="1">
      <c r="A11" s="5">
        <v>201230</v>
      </c>
      <c r="B11" s="18">
        <f>SUMIF(SHACRSE!A:A,A11,SHACRSE!J:J)</f>
        <v>0</v>
      </c>
      <c r="C11" s="6">
        <f t="shared" si="0"/>
        <v>0</v>
      </c>
      <c r="D11" s="6">
        <f>SUMIFS(TSAAREV!D:D,TSAAREV!C:C,'Refund Request'!A11,TSAAREV!A:A,"*RG")+(SUMIFS(TSAAREV!D:D,TSAAREV!C:C,'Refund Request'!A11,TSAAREV!A:A,"*TE")+(SUMIFS(TSAAREV!D:D,TSAAREV!C:C,'Refund Request'!A11,TSAAREV!A:A,"*GU")+(SUMIFS(TSAAREV!D:D,TSAAREV!C:C,'Refund Request'!A11,TSAAREV!A:A,"*AD")+(SUMIFS(TSAAREV!D:D,TSAAREV!C:C,'Refund Request'!A11,TSAAREV!A:A,"*AC")+(SUMIFS(TSAAREV!D:D,TSAAREV!C:C,'Refund Request'!A11,TSAAREV!A:A,"*LT"))))))</f>
        <v>0</v>
      </c>
      <c r="E11" s="6">
        <f>SUMIFS(TSAAREV!D:D,TSAAREV!C:C,'Refund Request'!A11,TSAAREV!A:A,"*")-(SUMIFS(TSAAREV!D:D,TSAAREV!C:C,'Refund Request'!A11,TSAAREV!A:A,"*UG")+(SUMIFS(TSAAREV!D:D,TSAAREV!C:C,'Refund Request'!A11,TSAAREV!A:A,"PLNC")+(SUMIFS(TSAAREV!D:D,TSAAREV!C:C,'Refund Request'!A11,TSAAREV!A:A,"*CS")+(SUMIFS(TSAAREV!D:D,TSAAREV!C:C,'Refund Request'!A11,TSAAREV!A:A,"*RG")+(SUMIFS(TSAAREV!D:D,TSAAREV!C:C,'Refund Request'!A11,TSAAREV!A:A,"*TE")+(SUMIFS(TSAAREV!D:D,TSAAREV!C:C,'Refund Request'!A11,TSAAREV!A:A,"*GU")+(SUMIFS(TSAAREV!D:D,TSAAREV!C:C,'Refund Request'!A11,TSAAREV!A:A,"*AD")+(SUMIFS(TSAAREV!D:D,TSAAREV!C:C,'Refund Request'!A11,TSAAREV!A:A,"*AC")+(SUMIFS(TSAAREV!D:D,TSAAREV!C:C,'Refund Request'!A11,TSAAREV!A:A,"*LT"))))))))))</f>
        <v>0</v>
      </c>
      <c r="F11" s="6">
        <f>SUMIFS(TSAAREV!D:D,TSAAREV!C:C,'Refund Request'!A11,TSAAREV!A:A,"PLNC")</f>
        <v>0</v>
      </c>
      <c r="G11" s="6">
        <f t="shared" si="1"/>
        <v>0</v>
      </c>
      <c r="H11" s="6">
        <f>SUMIFS(TSAAREV!E:E,TSAAREV!C:C,'Refund Request'!A11)-(SUMIFS(TSAAREV!E:E,TSAAREV!C:C,'Refund Request'!A11,TSAAREV!A:A,"GATE")-(SUMIFS(TSAAREV!E:E,TSAAREV!C:C,'Refund Request'!A11,TSAAREV!A:A,"PLNP")-(SUMIFS(TSAAREV!E:E,TSAAREV!C:C,'Refund Request'!A11,TSAAREV!A:A,"PLNM"))))</f>
        <v>0</v>
      </c>
      <c r="I11" s="7" t="str">
        <f t="shared" si="2"/>
        <v>NO</v>
      </c>
      <c r="J11" s="7">
        <v>0</v>
      </c>
      <c r="K11" s="7">
        <v>0</v>
      </c>
      <c r="L11" s="6">
        <f t="shared" si="3"/>
        <v>0</v>
      </c>
      <c r="M11" s="8"/>
    </row>
    <row r="12" spans="1:13" s="9" customFormat="1" ht="30" customHeight="1">
      <c r="A12" s="5">
        <v>201310</v>
      </c>
      <c r="B12" s="18">
        <f>SUMIF(SHACRSE!A:A,A12,SHACRSE!J:J)</f>
        <v>12</v>
      </c>
      <c r="C12" s="6">
        <f t="shared" si="0"/>
        <v>3600</v>
      </c>
      <c r="D12" s="6">
        <f>SUMIFS(TSAAREV!D:D,TSAAREV!C:C,'Refund Request'!A12,TSAAREV!A:A,"*RG")+(SUMIFS(TSAAREV!D:D,TSAAREV!C:C,'Refund Request'!A12,TSAAREV!A:A,"*TE")+(SUMIFS(TSAAREV!D:D,TSAAREV!C:C,'Refund Request'!A12,TSAAREV!A:A,"*GU")+(SUMIFS(TSAAREV!D:D,TSAAREV!C:C,'Refund Request'!A12,TSAAREV!A:A,"*AD")+(SUMIFS(TSAAREV!D:D,TSAAREV!C:C,'Refund Request'!A12,TSAAREV!A:A,"*AC")+(SUMIFS(TSAAREV!D:D,TSAAREV!C:C,'Refund Request'!A12,TSAAREV!A:A,"*LT"))))))</f>
        <v>410</v>
      </c>
      <c r="E12" s="6">
        <f>SUMIFS(TSAAREV!D:D,TSAAREV!C:C,'Refund Request'!A12,TSAAREV!A:A,"*")-(SUMIFS(TSAAREV!D:D,TSAAREV!C:C,'Refund Request'!A12,TSAAREV!A:A,"*UG")+(SUMIFS(TSAAREV!D:D,TSAAREV!C:C,'Refund Request'!A12,TSAAREV!A:A,"PLNC")+(SUMIFS(TSAAREV!D:D,TSAAREV!C:C,'Refund Request'!A12,TSAAREV!A:A,"*CS")+(SUMIFS(TSAAREV!D:D,TSAAREV!C:C,'Refund Request'!A12,TSAAREV!A:A,"*RG")+(SUMIFS(TSAAREV!D:D,TSAAREV!C:C,'Refund Request'!A12,TSAAREV!A:A,"*TE")+(SUMIFS(TSAAREV!D:D,TSAAREV!C:C,'Refund Request'!A12,TSAAREV!A:A,"*GU")+(SUMIFS(TSAAREV!D:D,TSAAREV!C:C,'Refund Request'!A12,TSAAREV!A:A,"*AD")+(SUMIFS(TSAAREV!D:D,TSAAREV!C:C,'Refund Request'!A12,TSAAREV!A:A,"*AC")+(SUMIFS(TSAAREV!D:D,TSAAREV!C:C,'Refund Request'!A12,TSAAREV!A:A,"*LT"))))))))))</f>
        <v>59</v>
      </c>
      <c r="F12" s="6">
        <f>SUMIFS(TSAAREV!D:D,TSAAREV!C:C,'Refund Request'!A12,TSAAREV!A:A,"PLNC")</f>
        <v>0</v>
      </c>
      <c r="G12" s="6">
        <f t="shared" si="1"/>
        <v>4069</v>
      </c>
      <c r="H12" s="6">
        <f>SUMIFS(TSAAREV!E:E,TSAAREV!C:C,'Refund Request'!A12)-(SUMIFS(TSAAREV!E:E,TSAAREV!C:C,'Refund Request'!A12,TSAAREV!A:A,"GATE")-(SUMIFS(TSAAREV!E:E,TSAAREV!C:C,'Refund Request'!A12,TSAAREV!A:A,"PLNP")-(SUMIFS(TSAAREV!E:E,TSAAREV!C:C,'Refund Request'!A12,TSAAREV!A:A,"PLNM"))))</f>
        <v>469</v>
      </c>
      <c r="I12" s="7" t="str">
        <f t="shared" si="2"/>
        <v>NO</v>
      </c>
      <c r="J12" s="7">
        <v>0</v>
      </c>
      <c r="K12" s="7">
        <v>0</v>
      </c>
      <c r="L12" s="6">
        <f t="shared" si="3"/>
        <v>3600</v>
      </c>
      <c r="M12" s="8"/>
    </row>
    <row r="13" spans="1:13" s="9" customFormat="1" ht="30" customHeight="1">
      <c r="A13" s="5">
        <v>201320</v>
      </c>
      <c r="B13" s="18">
        <f>SUMIF(SHACRSE!A:A,A13,SHACRSE!J:J)</f>
        <v>9</v>
      </c>
      <c r="C13" s="6">
        <f t="shared" si="0"/>
        <v>2700</v>
      </c>
      <c r="D13" s="6">
        <f>SUMIFS(TSAAREV!D:D,TSAAREV!C:C,'Refund Request'!A13,TSAAREV!A:A,"*RG")+(SUMIFS(TSAAREV!D:D,TSAAREV!C:C,'Refund Request'!A13,TSAAREV!A:A,"*TE")+(SUMIFS(TSAAREV!D:D,TSAAREV!C:C,'Refund Request'!A13,TSAAREV!A:A,"*GU")+(SUMIFS(TSAAREV!D:D,TSAAREV!C:C,'Refund Request'!A13,TSAAREV!A:A,"*AD")+(SUMIFS(TSAAREV!D:D,TSAAREV!C:C,'Refund Request'!A13,TSAAREV!A:A,"*AC")+(SUMIFS(TSAAREV!D:D,TSAAREV!C:C,'Refund Request'!A13,TSAAREV!A:A,"*LT"))))))</f>
        <v>280</v>
      </c>
      <c r="E13" s="6">
        <f>SUMIFS(TSAAREV!D:D,TSAAREV!C:C,'Refund Request'!A13,TSAAREV!A:A,"*")-(SUMIFS(TSAAREV!D:D,TSAAREV!C:C,'Refund Request'!A13,TSAAREV!A:A,"*UG")+(SUMIFS(TSAAREV!D:D,TSAAREV!C:C,'Refund Request'!A13,TSAAREV!A:A,"PLNC")+(SUMIFS(TSAAREV!D:D,TSAAREV!C:C,'Refund Request'!A13,TSAAREV!A:A,"*CS")+(SUMIFS(TSAAREV!D:D,TSAAREV!C:C,'Refund Request'!A13,TSAAREV!A:A,"*RG")+(SUMIFS(TSAAREV!D:D,TSAAREV!C:C,'Refund Request'!A13,TSAAREV!A:A,"*TE")+(SUMIFS(TSAAREV!D:D,TSAAREV!C:C,'Refund Request'!A13,TSAAREV!A:A,"*GU")+(SUMIFS(TSAAREV!D:D,TSAAREV!C:C,'Refund Request'!A13,TSAAREV!A:A,"*AD")+(SUMIFS(TSAAREV!D:D,TSAAREV!C:C,'Refund Request'!A13,TSAAREV!A:A,"*AC")+(SUMIFS(TSAAREV!D:D,TSAAREV!C:C,'Refund Request'!A13,TSAAREV!A:A,"*LT"))))))))))</f>
        <v>15</v>
      </c>
      <c r="F13" s="6">
        <f>SUMIFS(TSAAREV!D:D,TSAAREV!C:C,'Refund Request'!A13,TSAAREV!A:A,"PLNC")</f>
        <v>0</v>
      </c>
      <c r="G13" s="6">
        <f t="shared" si="1"/>
        <v>2995</v>
      </c>
      <c r="H13" s="6">
        <f>SUMIFS(TSAAREV!E:E,TSAAREV!C:C,'Refund Request'!A13)-(SUMIFS(TSAAREV!E:E,TSAAREV!C:C,'Refund Request'!A13,TSAAREV!A:A,"GATE")-(SUMIFS(TSAAREV!E:E,TSAAREV!C:C,'Refund Request'!A13,TSAAREV!A:A,"PLNP")-(SUMIFS(TSAAREV!E:E,TSAAREV!C:C,'Refund Request'!A13,TSAAREV!A:A,"PLNM"))))</f>
        <v>295</v>
      </c>
      <c r="I13" s="7" t="str">
        <f t="shared" si="2"/>
        <v>NO</v>
      </c>
      <c r="J13" s="7">
        <v>0</v>
      </c>
      <c r="K13" s="7">
        <v>0</v>
      </c>
      <c r="L13" s="6">
        <f t="shared" si="3"/>
        <v>2700</v>
      </c>
      <c r="M13" s="8"/>
    </row>
    <row r="14" spans="1:13" s="9" customFormat="1" ht="30" customHeight="1">
      <c r="A14" s="5">
        <v>201330</v>
      </c>
      <c r="B14" s="18">
        <f>SUMIF(SHACRSE!A:A,A14,SHACRSE!J:J)</f>
        <v>3</v>
      </c>
      <c r="C14" s="6">
        <f t="shared" si="0"/>
        <v>900</v>
      </c>
      <c r="D14" s="6">
        <f>SUMIFS(TSAAREV!D:D,TSAAREV!C:C,'Refund Request'!A14,TSAAREV!A:A,"*RG")+(SUMIFS(TSAAREV!D:D,TSAAREV!C:C,'Refund Request'!A14,TSAAREV!A:A,"*TE")+(SUMIFS(TSAAREV!D:D,TSAAREV!C:C,'Refund Request'!A14,TSAAREV!A:A,"*GU")+(SUMIFS(TSAAREV!D:D,TSAAREV!C:C,'Refund Request'!A14,TSAAREV!A:A,"*AD")+(SUMIFS(TSAAREV!D:D,TSAAREV!C:C,'Refund Request'!A14,TSAAREV!A:A,"*AC")+(SUMIFS(TSAAREV!D:D,TSAAREV!C:C,'Refund Request'!A14,TSAAREV!A:A,"*LT"))))))</f>
        <v>280</v>
      </c>
      <c r="E14" s="6">
        <f>SUMIFS(TSAAREV!D:D,TSAAREV!C:C,'Refund Request'!A14,TSAAREV!A:A,"*")-(SUMIFS(TSAAREV!D:D,TSAAREV!C:C,'Refund Request'!A14,TSAAREV!A:A,"*UG")+(SUMIFS(TSAAREV!D:D,TSAAREV!C:C,'Refund Request'!A14,TSAAREV!A:A,"PLNC")+(SUMIFS(TSAAREV!D:D,TSAAREV!C:C,'Refund Request'!A14,TSAAREV!A:A,"*CS")+(SUMIFS(TSAAREV!D:D,TSAAREV!C:C,'Refund Request'!A14,TSAAREV!A:A,"*RG")+(SUMIFS(TSAAREV!D:D,TSAAREV!C:C,'Refund Request'!A14,TSAAREV!A:A,"*TE")+(SUMIFS(TSAAREV!D:D,TSAAREV!C:C,'Refund Request'!A14,TSAAREV!A:A,"*GU")+(SUMIFS(TSAAREV!D:D,TSAAREV!C:C,'Refund Request'!A14,TSAAREV!A:A,"*AD")+(SUMIFS(TSAAREV!D:D,TSAAREV!C:C,'Refund Request'!A14,TSAAREV!A:A,"*AC")+(SUMIFS(TSAAREV!D:D,TSAAREV!C:C,'Refund Request'!A14,TSAAREV!A:A,"*LT"))))))))))</f>
        <v>0</v>
      </c>
      <c r="F14" s="6">
        <f>SUMIFS(TSAAREV!D:D,TSAAREV!C:C,'Refund Request'!A14,TSAAREV!A:A,"PLNC")</f>
        <v>0</v>
      </c>
      <c r="G14" s="6">
        <f t="shared" si="1"/>
        <v>1180</v>
      </c>
      <c r="H14" s="6">
        <f>SUMIFS(TSAAREV!E:E,TSAAREV!C:C,'Refund Request'!A14)-(SUMIFS(TSAAREV!E:E,TSAAREV!C:C,'Refund Request'!A14,TSAAREV!A:A,"GATE")-(SUMIFS(TSAAREV!E:E,TSAAREV!C:C,'Refund Request'!A14,TSAAREV!A:A,"PLNP")-(SUMIFS(TSAAREV!E:E,TSAAREV!C:C,'Refund Request'!A14,TSAAREV!A:A,"PLNM"))))</f>
        <v>1180</v>
      </c>
      <c r="I14" s="7" t="str">
        <f t="shared" si="2"/>
        <v>NO</v>
      </c>
      <c r="J14" s="7">
        <v>0</v>
      </c>
      <c r="K14" s="7">
        <v>0</v>
      </c>
      <c r="L14" s="6">
        <f t="shared" si="3"/>
        <v>0</v>
      </c>
      <c r="M14" s="8"/>
    </row>
    <row r="15" spans="1:13" s="9" customFormat="1" ht="30" customHeight="1">
      <c r="A15" s="5">
        <v>201410</v>
      </c>
      <c r="B15" s="18">
        <f>SUMIF(SHACRSE!A:A,A15,SHACRSE!J:J)</f>
        <v>0</v>
      </c>
      <c r="C15" s="6">
        <f t="shared" si="0"/>
        <v>0</v>
      </c>
      <c r="D15" s="6">
        <f>SUMIFS(TSAAREV!D:D,TSAAREV!C:C,'Refund Request'!A15,TSAAREV!A:A,"*RG")+(SUMIFS(TSAAREV!D:D,TSAAREV!C:C,'Refund Request'!A15,TSAAREV!A:A,"*TE")+(SUMIFS(TSAAREV!D:D,TSAAREV!C:C,'Refund Request'!A15,TSAAREV!A:A,"*GU")+(SUMIFS(TSAAREV!D:D,TSAAREV!C:C,'Refund Request'!A15,TSAAREV!A:A,"*AD")+(SUMIFS(TSAAREV!D:D,TSAAREV!C:C,'Refund Request'!A15,TSAAREV!A:A,"*AC")+(SUMIFS(TSAAREV!D:D,TSAAREV!C:C,'Refund Request'!A15,TSAAREV!A:A,"*LT"))))))</f>
        <v>460</v>
      </c>
      <c r="E15" s="6">
        <f>SUMIFS(TSAAREV!D:D,TSAAREV!C:C,'Refund Request'!A15,TSAAREV!A:A,"*")-(SUMIFS(TSAAREV!D:D,TSAAREV!C:C,'Refund Request'!A15,TSAAREV!A:A,"*UG")+(SUMIFS(TSAAREV!D:D,TSAAREV!C:C,'Refund Request'!A15,TSAAREV!A:A,"PLNC")+(SUMIFS(TSAAREV!D:D,TSAAREV!C:C,'Refund Request'!A15,TSAAREV!A:A,"*CS")+(SUMIFS(TSAAREV!D:D,TSAAREV!C:C,'Refund Request'!A15,TSAAREV!A:A,"*RG")+(SUMIFS(TSAAREV!D:D,TSAAREV!C:C,'Refund Request'!A15,TSAAREV!A:A,"*TE")+(SUMIFS(TSAAREV!D:D,TSAAREV!C:C,'Refund Request'!A15,TSAAREV!A:A,"*GU")+(SUMIFS(TSAAREV!D:D,TSAAREV!C:C,'Refund Request'!A15,TSAAREV!A:A,"*AD")+(SUMIFS(TSAAREV!D:D,TSAAREV!C:C,'Refund Request'!A15,TSAAREV!A:A,"*AC")+(SUMIFS(TSAAREV!D:D,TSAAREV!C:C,'Refund Request'!A15,TSAAREV!A:A,"*LT"))))))))))</f>
        <v>900</v>
      </c>
      <c r="F15" s="6">
        <f>SUMIFS(TSAAREV!D:D,TSAAREV!C:C,'Refund Request'!A15,TSAAREV!A:A,"PLNC")</f>
        <v>0</v>
      </c>
      <c r="G15" s="6">
        <f t="shared" si="1"/>
        <v>1360</v>
      </c>
      <c r="H15" s="6">
        <f>SUMIFS(TSAAREV!E:E,TSAAREV!C:C,'Refund Request'!A15)-(SUMIFS(TSAAREV!E:E,TSAAREV!C:C,'Refund Request'!A15,TSAAREV!A:A,"GATE")-(SUMIFS(TSAAREV!E:E,TSAAREV!C:C,'Refund Request'!A15,TSAAREV!A:A,"PLNP")-(SUMIFS(TSAAREV!E:E,TSAAREV!C:C,'Refund Request'!A15,TSAAREV!A:A,"PLNM"))))</f>
        <v>1360</v>
      </c>
      <c r="I15" s="7" t="str">
        <f t="shared" si="2"/>
        <v>NO</v>
      </c>
      <c r="J15" s="7">
        <v>0</v>
      </c>
      <c r="K15" s="7">
        <v>0</v>
      </c>
      <c r="L15" s="6">
        <f t="shared" si="3"/>
        <v>0</v>
      </c>
      <c r="M15" s="8"/>
    </row>
    <row r="16" spans="1:13" s="9" customFormat="1" ht="30" customHeight="1">
      <c r="A16" s="5">
        <v>201420</v>
      </c>
      <c r="B16" s="18">
        <f>SUMIF(SHACRSE!A:A,A16,SHACRSE!J:J)</f>
        <v>0</v>
      </c>
      <c r="C16" s="6">
        <f t="shared" si="0"/>
        <v>0</v>
      </c>
      <c r="D16" s="6">
        <f>SUMIFS(TSAAREV!D:D,TSAAREV!C:C,'Refund Request'!A16,TSAAREV!A:A,"*RG")+(SUMIFS(TSAAREV!D:D,TSAAREV!C:C,'Refund Request'!A16,TSAAREV!A:A,"*TE")+(SUMIFS(TSAAREV!D:D,TSAAREV!C:C,'Refund Request'!A16,TSAAREV!A:A,"*GU")+(SUMIFS(TSAAREV!D:D,TSAAREV!C:C,'Refund Request'!A16,TSAAREV!A:A,"*AD")+(SUMIFS(TSAAREV!D:D,TSAAREV!C:C,'Refund Request'!A16,TSAAREV!A:A,"*AC")+(SUMIFS(TSAAREV!D:D,TSAAREV!C:C,'Refund Request'!A16,TSAAREV!A:A,"*LT"))))))</f>
        <v>0</v>
      </c>
      <c r="E16" s="6">
        <f>SUMIFS(TSAAREV!D:D,TSAAREV!C:C,'Refund Request'!A16,TSAAREV!A:A,"*")-(SUMIFS(TSAAREV!D:D,TSAAREV!C:C,'Refund Request'!A16,TSAAREV!A:A,"*UG")+(SUMIFS(TSAAREV!D:D,TSAAREV!C:C,'Refund Request'!A16,TSAAREV!A:A,"PLNC")+(SUMIFS(TSAAREV!D:D,TSAAREV!C:C,'Refund Request'!A16,TSAAREV!A:A,"*CS")+(SUMIFS(TSAAREV!D:D,TSAAREV!C:C,'Refund Request'!A16,TSAAREV!A:A,"*RG")+(SUMIFS(TSAAREV!D:D,TSAAREV!C:C,'Refund Request'!A16,TSAAREV!A:A,"*TE")+(SUMIFS(TSAAREV!D:D,TSAAREV!C:C,'Refund Request'!A16,TSAAREV!A:A,"*GU")+(SUMIFS(TSAAREV!D:D,TSAAREV!C:C,'Refund Request'!A16,TSAAREV!A:A,"*AD")+(SUMIFS(TSAAREV!D:D,TSAAREV!C:C,'Refund Request'!A16,TSAAREV!A:A,"*AC")+(SUMIFS(TSAAREV!D:D,TSAAREV!C:C,'Refund Request'!A16,TSAAREV!A:A,"*LT"))))))))))</f>
        <v>0</v>
      </c>
      <c r="F16" s="6">
        <f>SUMIFS(TSAAREV!D:D,TSAAREV!C:C,'Refund Request'!A16,TSAAREV!A:A,"PLNC")</f>
        <v>0</v>
      </c>
      <c r="G16" s="6">
        <f t="shared" si="1"/>
        <v>0</v>
      </c>
      <c r="H16" s="6">
        <f>SUMIFS(TSAAREV!E:E,TSAAREV!C:C,'Refund Request'!A16)-(SUMIFS(TSAAREV!E:E,TSAAREV!C:C,'Refund Request'!A16,TSAAREV!A:A,"GATE")-(SUMIFS(TSAAREV!E:E,TSAAREV!C:C,'Refund Request'!A16,TSAAREV!A:A,"PLNP")-(SUMIFS(TSAAREV!E:E,TSAAREV!C:C,'Refund Request'!A16,TSAAREV!A:A,"PLNM"))))</f>
        <v>0</v>
      </c>
      <c r="I16" s="7" t="str">
        <f t="shared" si="2"/>
        <v>NO</v>
      </c>
      <c r="J16" s="7">
        <v>0</v>
      </c>
      <c r="K16" s="7">
        <v>0</v>
      </c>
      <c r="L16" s="6">
        <f t="shared" si="3"/>
        <v>0</v>
      </c>
      <c r="M16" s="8"/>
    </row>
    <row r="17" spans="1:13" s="9" customFormat="1" ht="30" customHeight="1">
      <c r="A17" s="5">
        <v>201430</v>
      </c>
      <c r="B17" s="18">
        <f>SUMIF(SHACRSE!A:A,A17,SHACRSE!J:J)</f>
        <v>0</v>
      </c>
      <c r="C17" s="6">
        <f t="shared" si="0"/>
        <v>0</v>
      </c>
      <c r="D17" s="6">
        <f>SUMIFS(TSAAREV!D:D,TSAAREV!C:C,'Refund Request'!A17,TSAAREV!A:A,"*RG")+(SUMIFS(TSAAREV!D:D,TSAAREV!C:C,'Refund Request'!A17,TSAAREV!A:A,"*TE")+(SUMIFS(TSAAREV!D:D,TSAAREV!C:C,'Refund Request'!A17,TSAAREV!A:A,"*GU")+(SUMIFS(TSAAREV!D:D,TSAAREV!C:C,'Refund Request'!A17,TSAAREV!A:A,"*AD")+(SUMIFS(TSAAREV!D:D,TSAAREV!C:C,'Refund Request'!A17,TSAAREV!A:A,"*AC")+(SUMIFS(TSAAREV!D:D,TSAAREV!C:C,'Refund Request'!A17,TSAAREV!A:A,"*LT"))))))</f>
        <v>0</v>
      </c>
      <c r="E17" s="6">
        <f>SUMIFS(TSAAREV!D:D,TSAAREV!C:C,'Refund Request'!A17,TSAAREV!A:A,"*")-(SUMIFS(TSAAREV!D:D,TSAAREV!C:C,'Refund Request'!A17,TSAAREV!A:A,"*UG")+(SUMIFS(TSAAREV!D:D,TSAAREV!C:C,'Refund Request'!A17,TSAAREV!A:A,"PLNC")+(SUMIFS(TSAAREV!D:D,TSAAREV!C:C,'Refund Request'!A17,TSAAREV!A:A,"*CS")+(SUMIFS(TSAAREV!D:D,TSAAREV!C:C,'Refund Request'!A17,TSAAREV!A:A,"*RG")+(SUMIFS(TSAAREV!D:D,TSAAREV!C:C,'Refund Request'!A17,TSAAREV!A:A,"*TE")+(SUMIFS(TSAAREV!D:D,TSAAREV!C:C,'Refund Request'!A17,TSAAREV!A:A,"*GU")+(SUMIFS(TSAAREV!D:D,TSAAREV!C:C,'Refund Request'!A17,TSAAREV!A:A,"*AD")+(SUMIFS(TSAAREV!D:D,TSAAREV!C:C,'Refund Request'!A17,TSAAREV!A:A,"*AC")+(SUMIFS(TSAAREV!D:D,TSAAREV!C:C,'Refund Request'!A17,TSAAREV!A:A,"*LT"))))))))))</f>
        <v>0</v>
      </c>
      <c r="F17" s="6">
        <f>SUMIFS(TSAAREV!D:D,TSAAREV!C:C,'Refund Request'!A17,TSAAREV!A:A,"PLNC")</f>
        <v>0</v>
      </c>
      <c r="G17" s="6">
        <f t="shared" si="1"/>
        <v>0</v>
      </c>
      <c r="H17" s="6">
        <f>SUMIFS(TSAAREV!E:E,TSAAREV!C:C,'Refund Request'!A17)-(SUMIFS(TSAAREV!E:E,TSAAREV!C:C,'Refund Request'!A17,TSAAREV!A:A,"GATE")-(SUMIFS(TSAAREV!E:E,TSAAREV!C:C,'Refund Request'!A17,TSAAREV!A:A,"PLNP")-(SUMIFS(TSAAREV!E:E,TSAAREV!C:C,'Refund Request'!A17,TSAAREV!A:A,"PLNM"))))</f>
        <v>0</v>
      </c>
      <c r="I17" s="7" t="str">
        <f t="shared" si="2"/>
        <v>NO</v>
      </c>
      <c r="J17" s="7">
        <v>0</v>
      </c>
      <c r="K17" s="7">
        <v>0</v>
      </c>
      <c r="L17" s="6">
        <f t="shared" si="3"/>
        <v>0</v>
      </c>
      <c r="M17" s="8"/>
    </row>
    <row r="18" spans="1:13" s="9" customFormat="1" ht="30" customHeight="1">
      <c r="A18" s="5">
        <v>201510</v>
      </c>
      <c r="B18" s="18">
        <f>SUMIF(SHACRSE!A:A,A18,SHACRSE!J:J)</f>
        <v>0</v>
      </c>
      <c r="C18" s="6">
        <f t="shared" si="0"/>
        <v>0</v>
      </c>
      <c r="D18" s="6">
        <f>SUMIFS(TSAAREV!D:D,TSAAREV!C:C,'Refund Request'!A18,TSAAREV!A:A,"*RG")+(SUMIFS(TSAAREV!D:D,TSAAREV!C:C,'Refund Request'!A18,TSAAREV!A:A,"*TE")+(SUMIFS(TSAAREV!D:D,TSAAREV!C:C,'Refund Request'!A18,TSAAREV!A:A,"*GU")+(SUMIFS(TSAAREV!D:D,TSAAREV!C:C,'Refund Request'!A18,TSAAREV!A:A,"*AD")+(SUMIFS(TSAAREV!D:D,TSAAREV!C:C,'Refund Request'!A18,TSAAREV!A:A,"*AC")+(SUMIFS(TSAAREV!D:D,TSAAREV!C:C,'Refund Request'!A18,TSAAREV!A:A,"*LT"))))))</f>
        <v>0</v>
      </c>
      <c r="E18" s="6">
        <f>SUMIFS(TSAAREV!D:D,TSAAREV!C:C,'Refund Request'!A18,TSAAREV!A:A,"*")-(SUMIFS(TSAAREV!D:D,TSAAREV!C:C,'Refund Request'!A18,TSAAREV!A:A,"*UG")+(SUMIFS(TSAAREV!D:D,TSAAREV!C:C,'Refund Request'!A18,TSAAREV!A:A,"PLNC")+(SUMIFS(TSAAREV!D:D,TSAAREV!C:C,'Refund Request'!A18,TSAAREV!A:A,"*CS")+(SUMIFS(TSAAREV!D:D,TSAAREV!C:C,'Refund Request'!A18,TSAAREV!A:A,"*RG")+(SUMIFS(TSAAREV!D:D,TSAAREV!C:C,'Refund Request'!A18,TSAAREV!A:A,"*TE")+(SUMIFS(TSAAREV!D:D,TSAAREV!C:C,'Refund Request'!A18,TSAAREV!A:A,"*GU")+(SUMIFS(TSAAREV!D:D,TSAAREV!C:C,'Refund Request'!A18,TSAAREV!A:A,"*AD")+(SUMIFS(TSAAREV!D:D,TSAAREV!C:C,'Refund Request'!A18,TSAAREV!A:A,"*AC")+(SUMIFS(TSAAREV!D:D,TSAAREV!C:C,'Refund Request'!A18,TSAAREV!A:A,"*LT"))))))))))</f>
        <v>0</v>
      </c>
      <c r="F18" s="6">
        <f>SUMIFS(TSAAREV!D:D,TSAAREV!C:C,'Refund Request'!A18,TSAAREV!A:A,"PLNC")</f>
        <v>0</v>
      </c>
      <c r="G18" s="6">
        <f t="shared" si="1"/>
        <v>0</v>
      </c>
      <c r="H18" s="6">
        <f>SUMIFS(TSAAREV!E:E,TSAAREV!C:C,'Refund Request'!A18)-(SUMIFS(TSAAREV!E:E,TSAAREV!C:C,'Refund Request'!A18,TSAAREV!A:A,"GATE")-(SUMIFS(TSAAREV!E:E,TSAAREV!C:C,'Refund Request'!A18,TSAAREV!A:A,"PLNP")-(SUMIFS(TSAAREV!E:E,TSAAREV!C:C,'Refund Request'!A18,TSAAREV!A:A,"PLNM"))))</f>
        <v>0</v>
      </c>
      <c r="I18" s="7" t="str">
        <f t="shared" si="2"/>
        <v>NO</v>
      </c>
      <c r="J18" s="7">
        <v>0</v>
      </c>
      <c r="K18" s="7">
        <v>0</v>
      </c>
      <c r="L18" s="6">
        <f t="shared" si="3"/>
        <v>0</v>
      </c>
      <c r="M18" s="8"/>
    </row>
    <row r="19" spans="1:13" s="9" customFormat="1" ht="30" customHeight="1">
      <c r="A19" s="5">
        <v>201520</v>
      </c>
      <c r="B19" s="18">
        <f>SUMIF(SHACRSE!A:A,A19,SHACRSE!J:J)</f>
        <v>0</v>
      </c>
      <c r="C19" s="6">
        <f t="shared" si="0"/>
        <v>0</v>
      </c>
      <c r="D19" s="6">
        <f>SUMIFS(TSAAREV!D:D,TSAAREV!C:C,'Refund Request'!A19,TSAAREV!A:A,"*RG")+(SUMIFS(TSAAREV!D:D,TSAAREV!C:C,'Refund Request'!A19,TSAAREV!A:A,"*TE")+(SUMIFS(TSAAREV!D:D,TSAAREV!C:C,'Refund Request'!A19,TSAAREV!A:A,"*GU")+(SUMIFS(TSAAREV!D:D,TSAAREV!C:C,'Refund Request'!A19,TSAAREV!A:A,"*AD")+(SUMIFS(TSAAREV!D:D,TSAAREV!C:C,'Refund Request'!A19,TSAAREV!A:A,"*AC")+(SUMIFS(TSAAREV!D:D,TSAAREV!C:C,'Refund Request'!A19,TSAAREV!A:A,"*LT"))))))</f>
        <v>0</v>
      </c>
      <c r="E19" s="6">
        <f>SUMIFS(TSAAREV!D:D,TSAAREV!C:C,'Refund Request'!A19,TSAAREV!A:A,"*")-(SUMIFS(TSAAREV!D:D,TSAAREV!C:C,'Refund Request'!A19,TSAAREV!A:A,"*UG")+(SUMIFS(TSAAREV!D:D,TSAAREV!C:C,'Refund Request'!A19,TSAAREV!A:A,"PLNC")+(SUMIFS(TSAAREV!D:D,TSAAREV!C:C,'Refund Request'!A19,TSAAREV!A:A,"*CS")+(SUMIFS(TSAAREV!D:D,TSAAREV!C:C,'Refund Request'!A19,TSAAREV!A:A,"*RG")+(SUMIFS(TSAAREV!D:D,TSAAREV!C:C,'Refund Request'!A19,TSAAREV!A:A,"*TE")+(SUMIFS(TSAAREV!D:D,TSAAREV!C:C,'Refund Request'!A19,TSAAREV!A:A,"*GU")+(SUMIFS(TSAAREV!D:D,TSAAREV!C:C,'Refund Request'!A19,TSAAREV!A:A,"*AD")+(SUMIFS(TSAAREV!D:D,TSAAREV!C:C,'Refund Request'!A19,TSAAREV!A:A,"*AC")+(SUMIFS(TSAAREV!D:D,TSAAREV!C:C,'Refund Request'!A19,TSAAREV!A:A,"*LT"))))))))))</f>
        <v>10</v>
      </c>
      <c r="F19" s="6">
        <f>SUMIFS(TSAAREV!D:D,TSAAREV!C:C,'Refund Request'!A19,TSAAREV!A:A,"PLNC")</f>
        <v>0</v>
      </c>
      <c r="G19" s="6">
        <f t="shared" si="1"/>
        <v>10</v>
      </c>
      <c r="H19" s="6">
        <f>SUMIFS(TSAAREV!E:E,TSAAREV!C:C,'Refund Request'!A19)-(SUMIFS(TSAAREV!E:E,TSAAREV!C:C,'Refund Request'!A19,TSAAREV!A:A,"GATE")-(SUMIFS(TSAAREV!E:E,TSAAREV!C:C,'Refund Request'!A19,TSAAREV!A:A,"PLNP")-(SUMIFS(TSAAREV!E:E,TSAAREV!C:C,'Refund Request'!A19,TSAAREV!A:A,"PLNM"))))</f>
        <v>10</v>
      </c>
      <c r="I19" s="7" t="str">
        <f t="shared" si="2"/>
        <v>NO</v>
      </c>
      <c r="J19" s="7">
        <v>0</v>
      </c>
      <c r="K19" s="7">
        <v>0</v>
      </c>
      <c r="L19" s="6">
        <f t="shared" si="3"/>
        <v>0</v>
      </c>
      <c r="M19" s="8"/>
    </row>
    <row r="20" spans="1:13" s="9" customFormat="1" ht="30" customHeight="1">
      <c r="A20" s="5">
        <v>201530</v>
      </c>
      <c r="B20" s="18">
        <f>SUMIF(SHACRSE!A:A,A20,SHACRSE!J:J)</f>
        <v>6</v>
      </c>
      <c r="C20" s="6">
        <f t="shared" si="0"/>
        <v>1800</v>
      </c>
      <c r="D20" s="6">
        <f>SUMIFS(TSAAREV!D:D,TSAAREV!C:C,'Refund Request'!A20,TSAAREV!A:A,"*RG")+(SUMIFS(TSAAREV!D:D,TSAAREV!C:C,'Refund Request'!A20,TSAAREV!A:A,"*TE")+(SUMIFS(TSAAREV!D:D,TSAAREV!C:C,'Refund Request'!A20,TSAAREV!A:A,"*GU")+(SUMIFS(TSAAREV!D:D,TSAAREV!C:C,'Refund Request'!A20,TSAAREV!A:A,"*AD")+(SUMIFS(TSAAREV!D:D,TSAAREV!C:C,'Refund Request'!A20,TSAAREV!A:A,"*AC")+(SUMIFS(TSAAREV!D:D,TSAAREV!C:C,'Refund Request'!A20,TSAAREV!A:A,"*LT"))))))</f>
        <v>0</v>
      </c>
      <c r="E20" s="6">
        <f>SUMIFS(TSAAREV!D:D,TSAAREV!C:C,'Refund Request'!A20,TSAAREV!A:A,"*")-(SUMIFS(TSAAREV!D:D,TSAAREV!C:C,'Refund Request'!A20,TSAAREV!A:A,"*UG")+(SUMIFS(TSAAREV!D:D,TSAAREV!C:C,'Refund Request'!A20,TSAAREV!A:A,"PLNC")+(SUMIFS(TSAAREV!D:D,TSAAREV!C:C,'Refund Request'!A20,TSAAREV!A:A,"*CS")+(SUMIFS(TSAAREV!D:D,TSAAREV!C:C,'Refund Request'!A20,TSAAREV!A:A,"*RG")+(SUMIFS(TSAAREV!D:D,TSAAREV!C:C,'Refund Request'!A20,TSAAREV!A:A,"*TE")+(SUMIFS(TSAAREV!D:D,TSAAREV!C:C,'Refund Request'!A20,TSAAREV!A:A,"*GU")+(SUMIFS(TSAAREV!D:D,TSAAREV!C:C,'Refund Request'!A20,TSAAREV!A:A,"*AD")+(SUMIFS(TSAAREV!D:D,TSAAREV!C:C,'Refund Request'!A20,TSAAREV!A:A,"*AC")+(SUMIFS(TSAAREV!D:D,TSAAREV!C:C,'Refund Request'!A20,TSAAREV!A:A,"*LT"))))))))))</f>
        <v>0</v>
      </c>
      <c r="F20" s="6">
        <f>SUMIFS(TSAAREV!D:D,TSAAREV!C:C,'Refund Request'!A20,TSAAREV!A:A,"PLNC")</f>
        <v>0</v>
      </c>
      <c r="G20" s="6">
        <f t="shared" si="1"/>
        <v>1800</v>
      </c>
      <c r="H20" s="6">
        <f>SUMIFS(TSAAREV!E:E,TSAAREV!C:C,'Refund Request'!A20)-(SUMIFS(TSAAREV!E:E,TSAAREV!C:C,'Refund Request'!A20,TSAAREV!A:A,"GATE")-(SUMIFS(TSAAREV!E:E,TSAAREV!C:C,'Refund Request'!A20,TSAAREV!A:A,"PLNP")-(SUMIFS(TSAAREV!E:E,TSAAREV!C:C,'Refund Request'!A20,TSAAREV!A:A,"PLNM"))))</f>
        <v>0</v>
      </c>
      <c r="I20" s="7" t="str">
        <f t="shared" si="2"/>
        <v>NO</v>
      </c>
      <c r="J20" s="7">
        <v>0</v>
      </c>
      <c r="K20" s="7">
        <v>0</v>
      </c>
      <c r="L20" s="6">
        <f t="shared" si="3"/>
        <v>1800</v>
      </c>
      <c r="M20" s="8"/>
    </row>
    <row r="21" spans="1:13" s="9" customFormat="1" ht="30" customHeight="1">
      <c r="A21" s="5">
        <v>201610</v>
      </c>
      <c r="B21" s="18">
        <f>SUMIF(SHACRSE!A:A,A21,SHACRSE!J:J)</f>
        <v>13</v>
      </c>
      <c r="C21" s="6">
        <f t="shared" si="0"/>
        <v>3900</v>
      </c>
      <c r="D21" s="6">
        <f>SUMIFS(TSAAREV!D:D,TSAAREV!C:C,'Refund Request'!A21,TSAAREV!A:A,"*RG")+(SUMIFS(TSAAREV!D:D,TSAAREV!C:C,'Refund Request'!A21,TSAAREV!A:A,"*TE")+(SUMIFS(TSAAREV!D:D,TSAAREV!C:C,'Refund Request'!A21,TSAAREV!A:A,"*GU")+(SUMIFS(TSAAREV!D:D,TSAAREV!C:C,'Refund Request'!A21,TSAAREV!A:A,"*AD")+(SUMIFS(TSAAREV!D:D,TSAAREV!C:C,'Refund Request'!A21,TSAAREV!A:A,"*AC")+(SUMIFS(TSAAREV!D:D,TSAAREV!C:C,'Refund Request'!A21,TSAAREV!A:A,"*LT"))))))</f>
        <v>0</v>
      </c>
      <c r="E21" s="6">
        <f>SUMIFS(TSAAREV!D:D,TSAAREV!C:C,'Refund Request'!A21,TSAAREV!A:A,"*")-(SUMIFS(TSAAREV!D:D,TSAAREV!C:C,'Refund Request'!A21,TSAAREV!A:A,"*UG")+(SUMIFS(TSAAREV!D:D,TSAAREV!C:C,'Refund Request'!A21,TSAAREV!A:A,"PLNC")+(SUMIFS(TSAAREV!D:D,TSAAREV!C:C,'Refund Request'!A21,TSAAREV!A:A,"*CS")+(SUMIFS(TSAAREV!D:D,TSAAREV!C:C,'Refund Request'!A21,TSAAREV!A:A,"*RG")+(SUMIFS(TSAAREV!D:D,TSAAREV!C:C,'Refund Request'!A21,TSAAREV!A:A,"*TE")+(SUMIFS(TSAAREV!D:D,TSAAREV!C:C,'Refund Request'!A21,TSAAREV!A:A,"*GU")+(SUMIFS(TSAAREV!D:D,TSAAREV!C:C,'Refund Request'!A21,TSAAREV!A:A,"*AD")+(SUMIFS(TSAAREV!D:D,TSAAREV!C:C,'Refund Request'!A21,TSAAREV!A:A,"*AC")+(SUMIFS(TSAAREV!D:D,TSAAREV!C:C,'Refund Request'!A21,TSAAREV!A:A,"*LT"))))))))))</f>
        <v>0</v>
      </c>
      <c r="F21" s="6">
        <f>SUMIFS(TSAAREV!D:D,TSAAREV!C:C,'Refund Request'!A21,TSAAREV!A:A,"PLNC")</f>
        <v>0</v>
      </c>
      <c r="G21" s="6">
        <f t="shared" si="1"/>
        <v>3900</v>
      </c>
      <c r="H21" s="6">
        <f>SUMIFS(TSAAREV!E:E,TSAAREV!C:C,'Refund Request'!A21)-(SUMIFS(TSAAREV!E:E,TSAAREV!C:C,'Refund Request'!A21,TSAAREV!A:A,"GATE")-(SUMIFS(TSAAREV!E:E,TSAAREV!C:C,'Refund Request'!A21,TSAAREV!A:A,"PLNP")-(SUMIFS(TSAAREV!E:E,TSAAREV!C:C,'Refund Request'!A21,TSAAREV!A:A,"PLNM"))))</f>
        <v>0</v>
      </c>
      <c r="I21" s="7" t="str">
        <f t="shared" si="2"/>
        <v>NO</v>
      </c>
      <c r="J21" s="7">
        <v>0</v>
      </c>
      <c r="K21" s="7">
        <v>0</v>
      </c>
      <c r="L21" s="6">
        <f t="shared" si="3"/>
        <v>3900</v>
      </c>
      <c r="M21" s="8"/>
    </row>
    <row r="22" spans="1:13" s="9" customFormat="1" ht="30" customHeight="1">
      <c r="A22" s="5">
        <v>201620</v>
      </c>
      <c r="B22" s="18">
        <f>SUMIF(SHACRSE!A:A,A22,SHACRSE!J:J)</f>
        <v>9</v>
      </c>
      <c r="C22" s="6">
        <f t="shared" si="0"/>
        <v>2700</v>
      </c>
      <c r="D22" s="6">
        <f>SUMIFS(TSAAREV!D:D,TSAAREV!C:C,'Refund Request'!A22,TSAAREV!A:A,"*RG")+(SUMIFS(TSAAREV!D:D,TSAAREV!C:C,'Refund Request'!A22,TSAAREV!A:A,"*TE")+(SUMIFS(TSAAREV!D:D,TSAAREV!C:C,'Refund Request'!A22,TSAAREV!A:A,"*GU")+(SUMIFS(TSAAREV!D:D,TSAAREV!C:C,'Refund Request'!A22,TSAAREV!A:A,"*AD")+(SUMIFS(TSAAREV!D:D,TSAAREV!C:C,'Refund Request'!A22,TSAAREV!A:A,"*AC")+(SUMIFS(TSAAREV!D:D,TSAAREV!C:C,'Refund Request'!A22,TSAAREV!A:A,"*LT"))))))</f>
        <v>0</v>
      </c>
      <c r="E22" s="6">
        <f>SUMIFS(TSAAREV!D:D,TSAAREV!C:C,'Refund Request'!A22,TSAAREV!A:A,"*")-(SUMIFS(TSAAREV!D:D,TSAAREV!C:C,'Refund Request'!A22,TSAAREV!A:A,"*UG")+(SUMIFS(TSAAREV!D:D,TSAAREV!C:C,'Refund Request'!A22,TSAAREV!A:A,"PLNC")+(SUMIFS(TSAAREV!D:D,TSAAREV!C:C,'Refund Request'!A22,TSAAREV!A:A,"*CS")+(SUMIFS(TSAAREV!D:D,TSAAREV!C:C,'Refund Request'!A22,TSAAREV!A:A,"*RG")+(SUMIFS(TSAAREV!D:D,TSAAREV!C:C,'Refund Request'!A22,TSAAREV!A:A,"*TE")+(SUMIFS(TSAAREV!D:D,TSAAREV!C:C,'Refund Request'!A22,TSAAREV!A:A,"*GU")+(SUMIFS(TSAAREV!D:D,TSAAREV!C:C,'Refund Request'!A22,TSAAREV!A:A,"*AD")+(SUMIFS(TSAAREV!D:D,TSAAREV!C:C,'Refund Request'!A22,TSAAREV!A:A,"*AC")+(SUMIFS(TSAAREV!D:D,TSAAREV!C:C,'Refund Request'!A22,TSAAREV!A:A,"*LT"))))))))))</f>
        <v>0</v>
      </c>
      <c r="F22" s="6">
        <f>SUMIFS(TSAAREV!D:D,TSAAREV!C:C,'Refund Request'!A22,TSAAREV!A:A,"PLNC")</f>
        <v>0</v>
      </c>
      <c r="G22" s="6">
        <f t="shared" si="1"/>
        <v>2700</v>
      </c>
      <c r="H22" s="6">
        <f>SUMIFS(TSAAREV!E:E,TSAAREV!C:C,'Refund Request'!A22)-(SUMIFS(TSAAREV!E:E,TSAAREV!C:C,'Refund Request'!A22,TSAAREV!A:A,"GATE")-(SUMIFS(TSAAREV!E:E,TSAAREV!C:C,'Refund Request'!A22,TSAAREV!A:A,"PLNP")-(SUMIFS(TSAAREV!E:E,TSAAREV!C:C,'Refund Request'!A22,TSAAREV!A:A,"PLNM"))))</f>
        <v>0</v>
      </c>
      <c r="I22" s="7" t="str">
        <f t="shared" si="2"/>
        <v>NO</v>
      </c>
      <c r="J22" s="7">
        <v>0</v>
      </c>
      <c r="K22" s="7">
        <v>0</v>
      </c>
      <c r="L22" s="6">
        <f t="shared" si="3"/>
        <v>2700</v>
      </c>
      <c r="M22" s="8"/>
    </row>
    <row r="23" spans="1:13" s="9" customFormat="1" ht="30" customHeight="1">
      <c r="A23" s="5">
        <v>201630</v>
      </c>
      <c r="B23" s="18">
        <f>SUMIF(SHACRSE!A:A,A23,SHACRSE!J:J)</f>
        <v>2</v>
      </c>
      <c r="C23" s="6">
        <f t="shared" si="0"/>
        <v>600</v>
      </c>
      <c r="D23" s="6">
        <f>SUMIFS(TSAAREV!D:D,TSAAREV!C:C,'Refund Request'!A23,TSAAREV!A:A,"*RG")+(SUMIFS(TSAAREV!D:D,TSAAREV!C:C,'Refund Request'!A23,TSAAREV!A:A,"*TE")+(SUMIFS(TSAAREV!D:D,TSAAREV!C:C,'Refund Request'!A23,TSAAREV!A:A,"*GU")+(SUMIFS(TSAAREV!D:D,TSAAREV!C:C,'Refund Request'!A23,TSAAREV!A:A,"*AD")+(SUMIFS(TSAAREV!D:D,TSAAREV!C:C,'Refund Request'!A23,TSAAREV!A:A,"*AC")+(SUMIFS(TSAAREV!D:D,TSAAREV!C:C,'Refund Request'!A23,TSAAREV!A:A,"*LT"))))))</f>
        <v>0</v>
      </c>
      <c r="E23" s="6">
        <f>SUMIFS(TSAAREV!D:D,TSAAREV!C:C,'Refund Request'!A23,TSAAREV!A:A,"*")-(SUMIFS(TSAAREV!D:D,TSAAREV!C:C,'Refund Request'!A23,TSAAREV!A:A,"*UG")+(SUMIFS(TSAAREV!D:D,TSAAREV!C:C,'Refund Request'!A23,TSAAREV!A:A,"PLNC")+(SUMIFS(TSAAREV!D:D,TSAAREV!C:C,'Refund Request'!A23,TSAAREV!A:A,"*CS")+(SUMIFS(TSAAREV!D:D,TSAAREV!C:C,'Refund Request'!A23,TSAAREV!A:A,"*RG")+(SUMIFS(TSAAREV!D:D,TSAAREV!C:C,'Refund Request'!A23,TSAAREV!A:A,"*TE")+(SUMIFS(TSAAREV!D:D,TSAAREV!C:C,'Refund Request'!A23,TSAAREV!A:A,"*GU")+(SUMIFS(TSAAREV!D:D,TSAAREV!C:C,'Refund Request'!A23,TSAAREV!A:A,"*AD")+(SUMIFS(TSAAREV!D:D,TSAAREV!C:C,'Refund Request'!A23,TSAAREV!A:A,"*AC")+(SUMIFS(TSAAREV!D:D,TSAAREV!C:C,'Refund Request'!A23,TSAAREV!A:A,"*LT"))))))))))</f>
        <v>0</v>
      </c>
      <c r="F23" s="6">
        <f>SUMIFS(TSAAREV!D:D,TSAAREV!C:C,'Refund Request'!A23,TSAAREV!A:A,"PLNC")</f>
        <v>0</v>
      </c>
      <c r="G23" s="6">
        <f t="shared" si="1"/>
        <v>600</v>
      </c>
      <c r="H23" s="6">
        <f>SUMIFS(TSAAREV!E:E,TSAAREV!C:C,'Refund Request'!A23)-(SUMIFS(TSAAREV!E:E,TSAAREV!C:C,'Refund Request'!A23,TSAAREV!A:A,"GATE")-(SUMIFS(TSAAREV!E:E,TSAAREV!C:C,'Refund Request'!A23,TSAAREV!A:A,"PLNP")-(SUMIFS(TSAAREV!E:E,TSAAREV!C:C,'Refund Request'!A23,TSAAREV!A:A,"PLNM"))))</f>
        <v>0</v>
      </c>
      <c r="I23" s="7" t="str">
        <f t="shared" si="2"/>
        <v>NO</v>
      </c>
      <c r="J23" s="7">
        <v>0</v>
      </c>
      <c r="K23" s="7">
        <v>0</v>
      </c>
      <c r="L23" s="6">
        <f t="shared" si="3"/>
        <v>600</v>
      </c>
      <c r="M23" s="8"/>
    </row>
    <row r="24" spans="1:13" s="9" customFormat="1" ht="30" customHeight="1">
      <c r="A24" s="5">
        <v>201710</v>
      </c>
      <c r="B24" s="18">
        <f>SUMIF(SHACRSE!A:A,A24,SHACRSE!J:J)</f>
        <v>3</v>
      </c>
      <c r="C24" s="6">
        <f t="shared" si="0"/>
        <v>900</v>
      </c>
      <c r="D24" s="6">
        <f>SUMIFS(TSAAREV!D:D,TSAAREV!C:C,'Refund Request'!A24,TSAAREV!A:A,"*RG")+(SUMIFS(TSAAREV!D:D,TSAAREV!C:C,'Refund Request'!A24,TSAAREV!A:A,"*TE")+(SUMIFS(TSAAREV!D:D,TSAAREV!C:C,'Refund Request'!A24,TSAAREV!A:A,"*GU")+(SUMIFS(TSAAREV!D:D,TSAAREV!C:C,'Refund Request'!A24,TSAAREV!A:A,"*AD")+(SUMIFS(TSAAREV!D:D,TSAAREV!C:C,'Refund Request'!A24,TSAAREV!A:A,"*AC")+(SUMIFS(TSAAREV!D:D,TSAAREV!C:C,'Refund Request'!A24,TSAAREV!A:A,"*LT"))))))</f>
        <v>0</v>
      </c>
      <c r="E24" s="6">
        <f>SUMIFS(TSAAREV!D:D,TSAAREV!C:C,'Refund Request'!A24,TSAAREV!A:A,"*")-(SUMIFS(TSAAREV!D:D,TSAAREV!C:C,'Refund Request'!A24,TSAAREV!A:A,"*UG")+(SUMIFS(TSAAREV!D:D,TSAAREV!C:C,'Refund Request'!A24,TSAAREV!A:A,"PLNC")+(SUMIFS(TSAAREV!D:D,TSAAREV!C:C,'Refund Request'!A24,TSAAREV!A:A,"*CS")+(SUMIFS(TSAAREV!D:D,TSAAREV!C:C,'Refund Request'!A24,TSAAREV!A:A,"*RG")+(SUMIFS(TSAAREV!D:D,TSAAREV!C:C,'Refund Request'!A24,TSAAREV!A:A,"*TE")+(SUMIFS(TSAAREV!D:D,TSAAREV!C:C,'Refund Request'!A24,TSAAREV!A:A,"*GU")+(SUMIFS(TSAAREV!D:D,TSAAREV!C:C,'Refund Request'!A24,TSAAREV!A:A,"*AD")+(SUMIFS(TSAAREV!D:D,TSAAREV!C:C,'Refund Request'!A24,TSAAREV!A:A,"*AC")+(SUMIFS(TSAAREV!D:D,TSAAREV!C:C,'Refund Request'!A24,TSAAREV!A:A,"*LT"))))))))))</f>
        <v>10</v>
      </c>
      <c r="F24" s="6">
        <f>SUMIFS(TSAAREV!D:D,TSAAREV!C:C,'Refund Request'!A24,TSAAREV!A:A,"PLNC")</f>
        <v>0</v>
      </c>
      <c r="G24" s="6">
        <f t="shared" si="1"/>
        <v>910</v>
      </c>
      <c r="H24" s="6">
        <f>SUMIFS(TSAAREV!E:E,TSAAREV!C:C,'Refund Request'!A24)-(SUMIFS(TSAAREV!E:E,TSAAREV!C:C,'Refund Request'!A24,TSAAREV!A:A,"GATE")-(SUMIFS(TSAAREV!E:E,TSAAREV!C:C,'Refund Request'!A24,TSAAREV!A:A,"PLNP")-(SUMIFS(TSAAREV!E:E,TSAAREV!C:C,'Refund Request'!A24,TSAAREV!A:A,"PLNM"))))</f>
        <v>10</v>
      </c>
      <c r="I24" s="7" t="str">
        <f t="shared" si="2"/>
        <v>NO</v>
      </c>
      <c r="J24" s="7">
        <v>0</v>
      </c>
      <c r="K24" s="7">
        <v>0</v>
      </c>
      <c r="L24" s="6">
        <f t="shared" si="3"/>
        <v>900</v>
      </c>
      <c r="M24" s="8"/>
    </row>
    <row r="25" spans="1:13" s="9" customFormat="1" ht="30" customHeight="1">
      <c r="A25" s="5">
        <v>201720</v>
      </c>
      <c r="B25" s="18">
        <f>SUMIF(SHACRSE!A:A,A25,SHACRSE!J:J)</f>
        <v>6</v>
      </c>
      <c r="C25" s="6">
        <f t="shared" si="0"/>
        <v>1800</v>
      </c>
      <c r="D25" s="6">
        <f>SUMIFS(TSAAREV!D:D,TSAAREV!C:C,'Refund Request'!A25,TSAAREV!A:A,"*RG")+(SUMIFS(TSAAREV!D:D,TSAAREV!C:C,'Refund Request'!A25,TSAAREV!A:A,"*TE")+(SUMIFS(TSAAREV!D:D,TSAAREV!C:C,'Refund Request'!A25,TSAAREV!A:A,"*GU")+(SUMIFS(TSAAREV!D:D,TSAAREV!C:C,'Refund Request'!A25,TSAAREV!A:A,"*AD")+(SUMIFS(TSAAREV!D:D,TSAAREV!C:C,'Refund Request'!A25,TSAAREV!A:A,"*AC")+(SUMIFS(TSAAREV!D:D,TSAAREV!C:C,'Refund Request'!A25,TSAAREV!A:A,"*LT"))))))</f>
        <v>410</v>
      </c>
      <c r="E25" s="6">
        <f>SUMIFS(TSAAREV!D:D,TSAAREV!C:C,'Refund Request'!A25,TSAAREV!A:A,"*")-(SUMIFS(TSAAREV!D:D,TSAAREV!C:C,'Refund Request'!A25,TSAAREV!A:A,"*UG")+(SUMIFS(TSAAREV!D:D,TSAAREV!C:C,'Refund Request'!A25,TSAAREV!A:A,"PLNC")+(SUMIFS(TSAAREV!D:D,TSAAREV!C:C,'Refund Request'!A25,TSAAREV!A:A,"*CS")+(SUMIFS(TSAAREV!D:D,TSAAREV!C:C,'Refund Request'!A25,TSAAREV!A:A,"*RG")+(SUMIFS(TSAAREV!D:D,TSAAREV!C:C,'Refund Request'!A25,TSAAREV!A:A,"*TE")+(SUMIFS(TSAAREV!D:D,TSAAREV!C:C,'Refund Request'!A25,TSAAREV!A:A,"*GU")+(SUMIFS(TSAAREV!D:D,TSAAREV!C:C,'Refund Request'!A25,TSAAREV!A:A,"*AD")+(SUMIFS(TSAAREV!D:D,TSAAREV!C:C,'Refund Request'!A25,TSAAREV!A:A,"*AC")+(SUMIFS(TSAAREV!D:D,TSAAREV!C:C,'Refund Request'!A25,TSAAREV!A:A,"*LT"))))))))))</f>
        <v>140</v>
      </c>
      <c r="F25" s="6">
        <f>SUMIFS(TSAAREV!D:D,TSAAREV!C:C,'Refund Request'!A25,TSAAREV!A:A,"PLNC")</f>
        <v>0</v>
      </c>
      <c r="G25" s="6">
        <f t="shared" si="1"/>
        <v>2350</v>
      </c>
      <c r="H25" s="6">
        <f>SUMIFS(TSAAREV!E:E,TSAAREV!C:C,'Refund Request'!A25)-(SUMIFS(TSAAREV!E:E,TSAAREV!C:C,'Refund Request'!A25,TSAAREV!A:A,"GATE")-(SUMIFS(TSAAREV!E:E,TSAAREV!C:C,'Refund Request'!A25,TSAAREV!A:A,"PLNP")-(SUMIFS(TSAAREV!E:E,TSAAREV!C:C,'Refund Request'!A25,TSAAREV!A:A,"PLNM"))))</f>
        <v>2350</v>
      </c>
      <c r="I25" s="7" t="str">
        <f t="shared" si="2"/>
        <v>NO</v>
      </c>
      <c r="J25" s="7">
        <v>0</v>
      </c>
      <c r="K25" s="7">
        <v>0</v>
      </c>
      <c r="L25" s="6">
        <f t="shared" si="3"/>
        <v>0</v>
      </c>
      <c r="M25" s="8"/>
    </row>
    <row r="26" spans="1:13" s="9" customFormat="1" ht="30" customHeight="1">
      <c r="A26" s="5">
        <v>201730</v>
      </c>
      <c r="B26" s="18">
        <f>SUMIF(SHACRSE!A:A,A26,SHACRSE!J:J)</f>
        <v>6</v>
      </c>
      <c r="C26" s="6">
        <f t="shared" si="0"/>
        <v>1800</v>
      </c>
      <c r="D26" s="6">
        <f>SUMIFS(TSAAREV!D:D,TSAAREV!C:C,'Refund Request'!A26,TSAAREV!A:A,"*RG")+(SUMIFS(TSAAREV!D:D,TSAAREV!C:C,'Refund Request'!A26,TSAAREV!A:A,"*TE")+(SUMIFS(TSAAREV!D:D,TSAAREV!C:C,'Refund Request'!A26,TSAAREV!A:A,"*GU")+(SUMIFS(TSAAREV!D:D,TSAAREV!C:C,'Refund Request'!A26,TSAAREV!A:A,"*AD")+(SUMIFS(TSAAREV!D:D,TSAAREV!C:C,'Refund Request'!A26,TSAAREV!A:A,"*AC")+(SUMIFS(TSAAREV!D:D,TSAAREV!C:C,'Refund Request'!A26,TSAAREV!A:A,"*LT"))))))</f>
        <v>280</v>
      </c>
      <c r="E26" s="6">
        <f>SUMIFS(TSAAREV!D:D,TSAAREV!C:C,'Refund Request'!A26,TSAAREV!A:A,"*")-(SUMIFS(TSAAREV!D:D,TSAAREV!C:C,'Refund Request'!A26,TSAAREV!A:A,"*UG")+(SUMIFS(TSAAREV!D:D,TSAAREV!C:C,'Refund Request'!A26,TSAAREV!A:A,"PLNC")+(SUMIFS(TSAAREV!D:D,TSAAREV!C:C,'Refund Request'!A26,TSAAREV!A:A,"*CS")+(SUMIFS(TSAAREV!D:D,TSAAREV!C:C,'Refund Request'!A26,TSAAREV!A:A,"*RG")+(SUMIFS(TSAAREV!D:D,TSAAREV!C:C,'Refund Request'!A26,TSAAREV!A:A,"*TE")+(SUMIFS(TSAAREV!D:D,TSAAREV!C:C,'Refund Request'!A26,TSAAREV!A:A,"*GU")+(SUMIFS(TSAAREV!D:D,TSAAREV!C:C,'Refund Request'!A26,TSAAREV!A:A,"*AD")+(SUMIFS(TSAAREV!D:D,TSAAREV!C:C,'Refund Request'!A26,TSAAREV!A:A,"*AC")+(SUMIFS(TSAAREV!D:D,TSAAREV!C:C,'Refund Request'!A26,TSAAREV!A:A,"*LT"))))))))))</f>
        <v>0</v>
      </c>
      <c r="F26" s="6">
        <f>SUMIFS(TSAAREV!D:D,TSAAREV!C:C,'Refund Request'!A26,TSAAREV!A:A,"PLNC")</f>
        <v>0</v>
      </c>
      <c r="G26" s="6">
        <f t="shared" si="1"/>
        <v>2080</v>
      </c>
      <c r="H26" s="6">
        <f>SUMIFS(TSAAREV!E:E,TSAAREV!C:C,'Refund Request'!A26)-(SUMIFS(TSAAREV!E:E,TSAAREV!C:C,'Refund Request'!A26,TSAAREV!A:A,"GATE")-(SUMIFS(TSAAREV!E:E,TSAAREV!C:C,'Refund Request'!A26,TSAAREV!A:A,"PLNP")-(SUMIFS(TSAAREV!E:E,TSAAREV!C:C,'Refund Request'!A26,TSAAREV!A:A,"PLNM"))))</f>
        <v>1630</v>
      </c>
      <c r="I26" s="7" t="str">
        <f t="shared" si="2"/>
        <v>NO</v>
      </c>
      <c r="J26" s="7">
        <v>0</v>
      </c>
      <c r="K26" s="7">
        <v>0</v>
      </c>
      <c r="L26" s="6">
        <f t="shared" si="3"/>
        <v>450</v>
      </c>
      <c r="M26" s="8"/>
    </row>
    <row r="27" spans="1:13" s="9" customFormat="1" ht="30" customHeight="1">
      <c r="A27" s="5">
        <v>201810</v>
      </c>
      <c r="B27" s="18">
        <f>SUMIF(SHACRSE!A:A,A27,SHACRSE!J:J)</f>
        <v>11</v>
      </c>
      <c r="C27" s="6">
        <f t="shared" si="0"/>
        <v>3300</v>
      </c>
      <c r="D27" s="6">
        <f>SUMIFS(TSAAREV!D:D,TSAAREV!C:C,'Refund Request'!A27,TSAAREV!A:A,"*RG")+(SUMIFS(TSAAREV!D:D,TSAAREV!C:C,'Refund Request'!A27,TSAAREV!A:A,"*TE")+(SUMIFS(TSAAREV!D:D,TSAAREV!C:C,'Refund Request'!A27,TSAAREV!A:A,"*GU")+(SUMIFS(TSAAREV!D:D,TSAAREV!C:C,'Refund Request'!A27,TSAAREV!A:A,"*AD")+(SUMIFS(TSAAREV!D:D,TSAAREV!C:C,'Refund Request'!A27,TSAAREV!A:A,"*AC")+(SUMIFS(TSAAREV!D:D,TSAAREV!C:C,'Refund Request'!A27,TSAAREV!A:A,"*LT"))))))</f>
        <v>410</v>
      </c>
      <c r="E27" s="6">
        <f>SUMIFS(TSAAREV!D:D,TSAAREV!C:C,'Refund Request'!A27,TSAAREV!A:A,"*")-(SUMIFS(TSAAREV!D:D,TSAAREV!C:C,'Refund Request'!A27,TSAAREV!A:A,"*UG")+(SUMIFS(TSAAREV!D:D,TSAAREV!C:C,'Refund Request'!A27,TSAAREV!A:A,"PLNC")+(SUMIFS(TSAAREV!D:D,TSAAREV!C:C,'Refund Request'!A27,TSAAREV!A:A,"*CS")+(SUMIFS(TSAAREV!D:D,TSAAREV!C:C,'Refund Request'!A27,TSAAREV!A:A,"*RG")+(SUMIFS(TSAAREV!D:D,TSAAREV!C:C,'Refund Request'!A27,TSAAREV!A:A,"*TE")+(SUMIFS(TSAAREV!D:D,TSAAREV!C:C,'Refund Request'!A27,TSAAREV!A:A,"*GU")+(SUMIFS(TSAAREV!D:D,TSAAREV!C:C,'Refund Request'!A27,TSAAREV!A:A,"*AD")+(SUMIFS(TSAAREV!D:D,TSAAREV!C:C,'Refund Request'!A27,TSAAREV!A:A,"*AC")+(SUMIFS(TSAAREV!D:D,TSAAREV!C:C,'Refund Request'!A27,TSAAREV!A:A,"*LT"))))))))))</f>
        <v>112</v>
      </c>
      <c r="F27" s="6">
        <f>SUMIFS(TSAAREV!D:D,TSAAREV!C:C,'Refund Request'!A27,TSAAREV!A:A,"PLNC")</f>
        <v>0</v>
      </c>
      <c r="G27" s="6">
        <f t="shared" si="1"/>
        <v>3822</v>
      </c>
      <c r="H27" s="6">
        <f>SUMIFS(TSAAREV!E:E,TSAAREV!C:C,'Refund Request'!A27)-(SUMIFS(TSAAREV!E:E,TSAAREV!C:C,'Refund Request'!A27,TSAAREV!A:A,"GATE")-(SUMIFS(TSAAREV!E:E,TSAAREV!C:C,'Refund Request'!A27,TSAAREV!A:A,"PLNP")-(SUMIFS(TSAAREV!E:E,TSAAREV!C:C,'Refund Request'!A27,TSAAREV!A:A,"PLNM"))))</f>
        <v>3222</v>
      </c>
      <c r="I27" s="7" t="str">
        <f t="shared" si="2"/>
        <v>NO</v>
      </c>
      <c r="J27" s="7">
        <v>0</v>
      </c>
      <c r="K27" s="7">
        <v>0</v>
      </c>
      <c r="L27" s="6">
        <f t="shared" si="3"/>
        <v>600</v>
      </c>
      <c r="M27" s="8"/>
    </row>
    <row r="28" spans="1:13" s="9" customFormat="1" ht="30" customHeight="1">
      <c r="A28" s="5">
        <v>201820</v>
      </c>
      <c r="B28" s="18">
        <f>SUMIF(SHACRSE!A:A,A28,SHACRSE!J:J)</f>
        <v>12</v>
      </c>
      <c r="C28" s="6">
        <f t="shared" si="0"/>
        <v>3600</v>
      </c>
      <c r="D28" s="6">
        <f>SUMIFS(TSAAREV!D:D,TSAAREV!C:C,'Refund Request'!A28,TSAAREV!A:A,"*RG")+(SUMIFS(TSAAREV!D:D,TSAAREV!C:C,'Refund Request'!A28,TSAAREV!A:A,"*TE")+(SUMIFS(TSAAREV!D:D,TSAAREV!C:C,'Refund Request'!A28,TSAAREV!A:A,"*GU")+(SUMIFS(TSAAREV!D:D,TSAAREV!C:C,'Refund Request'!A28,TSAAREV!A:A,"*AD")+(SUMIFS(TSAAREV!D:D,TSAAREV!C:C,'Refund Request'!A28,TSAAREV!A:A,"*AC")+(SUMIFS(TSAAREV!D:D,TSAAREV!C:C,'Refund Request'!A28,TSAAREV!A:A,"*LT"))))))</f>
        <v>280</v>
      </c>
      <c r="E28" s="6">
        <f>SUMIFS(TSAAREV!D:D,TSAAREV!C:C,'Refund Request'!A28,TSAAREV!A:A,"*")-(SUMIFS(TSAAREV!D:D,TSAAREV!C:C,'Refund Request'!A28,TSAAREV!A:A,"*UG")+(SUMIFS(TSAAREV!D:D,TSAAREV!C:C,'Refund Request'!A28,TSAAREV!A:A,"PLNC")+(SUMIFS(TSAAREV!D:D,TSAAREV!C:C,'Refund Request'!A28,TSAAREV!A:A,"*CS")+(SUMIFS(TSAAREV!D:D,TSAAREV!C:C,'Refund Request'!A28,TSAAREV!A:A,"*RG")+(SUMIFS(TSAAREV!D:D,TSAAREV!C:C,'Refund Request'!A28,TSAAREV!A:A,"*TE")+(SUMIFS(TSAAREV!D:D,TSAAREV!C:C,'Refund Request'!A28,TSAAREV!A:A,"*GU")+(SUMIFS(TSAAREV!D:D,TSAAREV!C:C,'Refund Request'!A28,TSAAREV!A:A,"*AD")+(SUMIFS(TSAAREV!D:D,TSAAREV!C:C,'Refund Request'!A28,TSAAREV!A:A,"*AC")+(SUMIFS(TSAAREV!D:D,TSAAREV!C:C,'Refund Request'!A28,TSAAREV!A:A,"*LT"))))))))))</f>
        <v>149</v>
      </c>
      <c r="F28" s="6">
        <f>SUMIFS(TSAAREV!D:D,TSAAREV!C:C,'Refund Request'!A28,TSAAREV!A:A,"PLNC")</f>
        <v>0</v>
      </c>
      <c r="G28" s="6">
        <f t="shared" si="1"/>
        <v>4029</v>
      </c>
      <c r="H28" s="6">
        <f>SUMIFS(TSAAREV!E:E,TSAAREV!C:C,'Refund Request'!A28)-(SUMIFS(TSAAREV!E:E,TSAAREV!C:C,'Refund Request'!A28,TSAAREV!A:A,"GATE")-(SUMIFS(TSAAREV!E:E,TSAAREV!C:C,'Refund Request'!A28,TSAAREV!A:A,"PLNP")-(SUMIFS(TSAAREV!E:E,TSAAREV!C:C,'Refund Request'!A28,TSAAREV!A:A,"PLNM"))))</f>
        <v>429</v>
      </c>
      <c r="I28" s="7" t="str">
        <f t="shared" si="2"/>
        <v>NO</v>
      </c>
      <c r="J28" s="7">
        <v>0</v>
      </c>
      <c r="K28" s="7">
        <v>0</v>
      </c>
      <c r="L28" s="6">
        <f t="shared" si="3"/>
        <v>3600</v>
      </c>
      <c r="M28" s="8"/>
    </row>
    <row r="29" spans="1:13" s="9" customFormat="1" ht="30" customHeight="1">
      <c r="A29" s="5">
        <v>201830</v>
      </c>
      <c r="B29" s="18">
        <f>SUMIF(SHACRSE!A:A,A29,SHACRSE!J:J)</f>
        <v>0</v>
      </c>
      <c r="C29" s="6">
        <f t="shared" si="0"/>
        <v>0</v>
      </c>
      <c r="D29" s="6">
        <f>SUMIFS(TSAAREV!D:D,TSAAREV!C:C,'Refund Request'!A29,TSAAREV!A:A,"*RG")+(SUMIFS(TSAAREV!D:D,TSAAREV!C:C,'Refund Request'!A29,TSAAREV!A:A,"*TE")+(SUMIFS(TSAAREV!D:D,TSAAREV!C:C,'Refund Request'!A29,TSAAREV!A:A,"*GU")+(SUMIFS(TSAAREV!D:D,TSAAREV!C:C,'Refund Request'!A29,TSAAREV!A:A,"*AD")+(SUMIFS(TSAAREV!D:D,TSAAREV!C:C,'Refund Request'!A29,TSAAREV!A:A,"*AC")+(SUMIFS(TSAAREV!D:D,TSAAREV!C:C,'Refund Request'!A29,TSAAREV!A:A,"*LT"))))))</f>
        <v>0</v>
      </c>
      <c r="E29" s="6">
        <f>SUMIFS(TSAAREV!D:D,TSAAREV!C:C,'Refund Request'!A29,TSAAREV!A:A,"*")-(SUMIFS(TSAAREV!D:D,TSAAREV!C:C,'Refund Request'!A29,TSAAREV!A:A,"*UG")+(SUMIFS(TSAAREV!D:D,TSAAREV!C:C,'Refund Request'!A29,TSAAREV!A:A,"PLNC")+(SUMIFS(TSAAREV!D:D,TSAAREV!C:C,'Refund Request'!A29,TSAAREV!A:A,"*CS")+(SUMIFS(TSAAREV!D:D,TSAAREV!C:C,'Refund Request'!A29,TSAAREV!A:A,"*RG")+(SUMIFS(TSAAREV!D:D,TSAAREV!C:C,'Refund Request'!A29,TSAAREV!A:A,"*TE")+(SUMIFS(TSAAREV!D:D,TSAAREV!C:C,'Refund Request'!A29,TSAAREV!A:A,"*GU")+(SUMIFS(TSAAREV!D:D,TSAAREV!C:C,'Refund Request'!A29,TSAAREV!A:A,"*AD")+(SUMIFS(TSAAREV!D:D,TSAAREV!C:C,'Refund Request'!A29,TSAAREV!A:A,"*AC")+(SUMIFS(TSAAREV!D:D,TSAAREV!C:C,'Refund Request'!A29,TSAAREV!A:A,"*LT"))))))))))</f>
        <v>0</v>
      </c>
      <c r="F29" s="6">
        <f>SUMIFS(TSAAREV!D:D,TSAAREV!C:C,'Refund Request'!A29,TSAAREV!A:A,"PLNC")</f>
        <v>0</v>
      </c>
      <c r="G29" s="6">
        <f t="shared" si="1"/>
        <v>0</v>
      </c>
      <c r="H29" s="6">
        <f>SUMIFS(TSAAREV!E:E,TSAAREV!C:C,'Refund Request'!A29)-(SUMIFS(TSAAREV!E:E,TSAAREV!C:C,'Refund Request'!A29,TSAAREV!A:A,"GATE")-(SUMIFS(TSAAREV!E:E,TSAAREV!C:C,'Refund Request'!A29,TSAAREV!A:A,"PLNP")-(SUMIFS(TSAAREV!E:E,TSAAREV!C:C,'Refund Request'!A29,TSAAREV!A:A,"PLNM"))))</f>
        <v>0</v>
      </c>
      <c r="I29" s="7" t="str">
        <f t="shared" si="2"/>
        <v>NO</v>
      </c>
      <c r="J29" s="7">
        <v>0</v>
      </c>
      <c r="K29" s="7">
        <v>0</v>
      </c>
      <c r="L29" s="6">
        <f t="shared" si="3"/>
        <v>0</v>
      </c>
      <c r="M29" s="8"/>
    </row>
    <row r="30" spans="1:13" s="9" customFormat="1" ht="30" customHeight="1">
      <c r="A30" s="5">
        <v>201910</v>
      </c>
      <c r="B30" s="18">
        <f>SUMIF(SHACRSE!A:A,A30,SHACRSE!J:J)</f>
        <v>12</v>
      </c>
      <c r="C30" s="6">
        <f t="shared" si="0"/>
        <v>3600</v>
      </c>
      <c r="D30" s="6">
        <f>SUMIFS(TSAAREV!D:D,TSAAREV!C:C,'Refund Request'!A30,TSAAREV!A:A,"*RG")+(SUMIFS(TSAAREV!D:D,TSAAREV!C:C,'Refund Request'!A30,TSAAREV!A:A,"*TE")+(SUMIFS(TSAAREV!D:D,TSAAREV!C:C,'Refund Request'!A30,TSAAREV!A:A,"*GU")+(SUMIFS(TSAAREV!D:D,TSAAREV!C:C,'Refund Request'!A30,TSAAREV!A:A,"*AD")+(SUMIFS(TSAAREV!D:D,TSAAREV!C:C,'Refund Request'!A30,TSAAREV!A:A,"*AC")+(SUMIFS(TSAAREV!D:D,TSAAREV!C:C,'Refund Request'!A30,TSAAREV!A:A,"*LT"))))))</f>
        <v>410</v>
      </c>
      <c r="E30" s="6">
        <f>SUMIFS(TSAAREV!D:D,TSAAREV!C:C,'Refund Request'!A30,TSAAREV!A:A,"*")-(SUMIFS(TSAAREV!D:D,TSAAREV!C:C,'Refund Request'!A30,TSAAREV!A:A,"*UG")+(SUMIFS(TSAAREV!D:D,TSAAREV!C:C,'Refund Request'!A30,TSAAREV!A:A,"PLNC")+(SUMIFS(TSAAREV!D:D,TSAAREV!C:C,'Refund Request'!A30,TSAAREV!A:A,"*CS")+(SUMIFS(TSAAREV!D:D,TSAAREV!C:C,'Refund Request'!A30,TSAAREV!A:A,"*RG")+(SUMIFS(TSAAREV!D:D,TSAAREV!C:C,'Refund Request'!A30,TSAAREV!A:A,"*TE")+(SUMIFS(TSAAREV!D:D,TSAAREV!C:C,'Refund Request'!A30,TSAAREV!A:A,"*GU")+(SUMIFS(TSAAREV!D:D,TSAAREV!C:C,'Refund Request'!A30,TSAAREV!A:A,"*AD")+(SUMIFS(TSAAREV!D:D,TSAAREV!C:C,'Refund Request'!A30,TSAAREV!A:A,"*AC")+(SUMIFS(TSAAREV!D:D,TSAAREV!C:C,'Refund Request'!A30,TSAAREV!A:A,"*LT"))))))))))</f>
        <v>57</v>
      </c>
      <c r="F30" s="6">
        <f>SUMIFS(TSAAREV!D:D,TSAAREV!C:C,'Refund Request'!A30,TSAAREV!A:A,"PLNC")</f>
        <v>0</v>
      </c>
      <c r="G30" s="6">
        <f t="shared" si="1"/>
        <v>4067</v>
      </c>
      <c r="H30" s="6">
        <f>SUMIFS(TSAAREV!E:E,TSAAREV!C:C,'Refund Request'!A30)-(SUMIFS(TSAAREV!E:E,TSAAREV!C:C,'Refund Request'!A30,TSAAREV!A:A,"GATE")-(SUMIFS(TSAAREV!E:E,TSAAREV!C:C,'Refund Request'!A30,TSAAREV!A:A,"PLNP")-(SUMIFS(TSAAREV!E:E,TSAAREV!C:C,'Refund Request'!A30,TSAAREV!A:A,"PLNM"))))</f>
        <v>467</v>
      </c>
      <c r="I30" s="7" t="str">
        <f t="shared" si="2"/>
        <v>NO</v>
      </c>
      <c r="J30" s="7">
        <v>0</v>
      </c>
      <c r="K30" s="7">
        <v>0</v>
      </c>
      <c r="L30" s="6">
        <f t="shared" ref="L30:L35" si="4">(G30-H30-J30-K30)</f>
        <v>3600</v>
      </c>
      <c r="M30" s="8"/>
    </row>
    <row r="31" spans="1:13" s="9" customFormat="1" ht="30" customHeight="1">
      <c r="A31" s="5">
        <v>201920</v>
      </c>
      <c r="B31" s="18">
        <f>SUMIF(SHACRSE!A:A,A31,SHACRSE!J:J)</f>
        <v>7</v>
      </c>
      <c r="C31" s="6">
        <f t="shared" si="0"/>
        <v>2100</v>
      </c>
      <c r="D31" s="6">
        <f>SUMIFS(TSAAREV!D:D,TSAAREV!C:C,'Refund Request'!A31,TSAAREV!A:A,"*RG")+(SUMIFS(TSAAREV!D:D,TSAAREV!C:C,'Refund Request'!A31,TSAAREV!A:A,"*TE")+(SUMIFS(TSAAREV!D:D,TSAAREV!C:C,'Refund Request'!A31,TSAAREV!A:A,"*GU")+(SUMIFS(TSAAREV!D:D,TSAAREV!C:C,'Refund Request'!A31,TSAAREV!A:A,"*AD")+(SUMIFS(TSAAREV!D:D,TSAAREV!C:C,'Refund Request'!A31,TSAAREV!A:A,"*AC")+(SUMIFS(TSAAREV!D:D,TSAAREV!C:C,'Refund Request'!A31,TSAAREV!A:A,"*LT"))))))</f>
        <v>330</v>
      </c>
      <c r="E31" s="6">
        <f>SUMIFS(TSAAREV!D:D,TSAAREV!C:C,'Refund Request'!A31,TSAAREV!A:A,"*")-(SUMIFS(TSAAREV!D:D,TSAAREV!C:C,'Refund Request'!A31,TSAAREV!A:A,"*UG")+(SUMIFS(TSAAREV!D:D,TSAAREV!C:C,'Refund Request'!A31,TSAAREV!A:A,"PLNC")+(SUMIFS(TSAAREV!D:D,TSAAREV!C:C,'Refund Request'!A31,TSAAREV!A:A,"*CS")+(SUMIFS(TSAAREV!D:D,TSAAREV!C:C,'Refund Request'!A31,TSAAREV!A:A,"*RG")+(SUMIFS(TSAAREV!D:D,TSAAREV!C:C,'Refund Request'!A31,TSAAREV!A:A,"*TE")+(SUMIFS(TSAAREV!D:D,TSAAREV!C:C,'Refund Request'!A31,TSAAREV!A:A,"*GU")+(SUMIFS(TSAAREV!D:D,TSAAREV!C:C,'Refund Request'!A31,TSAAREV!A:A,"*AD")+(SUMIFS(TSAAREV!D:D,TSAAREV!C:C,'Refund Request'!A31,TSAAREV!A:A,"*AC")+(SUMIFS(TSAAREV!D:D,TSAAREV!C:C,'Refund Request'!A31,TSAAREV!A:A,"*LT"))))))))))</f>
        <v>100</v>
      </c>
      <c r="F31" s="6">
        <f>SUMIFS(TSAAREV!D:D,TSAAREV!C:C,'Refund Request'!A31,TSAAREV!A:A,"PLNC")</f>
        <v>0</v>
      </c>
      <c r="G31" s="6">
        <f t="shared" si="1"/>
        <v>2530</v>
      </c>
      <c r="H31" s="6">
        <f>SUMIFS(TSAAREV!E:E,TSAAREV!C:C,'Refund Request'!A31)-(SUMIFS(TSAAREV!E:E,TSAAREV!C:C,'Refund Request'!A31,TSAAREV!A:A,"GATE")-(SUMIFS(TSAAREV!E:E,TSAAREV!C:C,'Refund Request'!A31,TSAAREV!A:A,"PLNP")-(SUMIFS(TSAAREV!E:E,TSAAREV!C:C,'Refund Request'!A31,TSAAREV!A:A,"PLNM"))))</f>
        <v>430</v>
      </c>
      <c r="I31" s="7" t="str">
        <f t="shared" si="2"/>
        <v>NO</v>
      </c>
      <c r="J31" s="7">
        <v>0</v>
      </c>
      <c r="K31" s="7">
        <v>0</v>
      </c>
      <c r="L31" s="6">
        <f t="shared" si="4"/>
        <v>2100</v>
      </c>
      <c r="M31" s="8"/>
    </row>
    <row r="32" spans="1:13" s="9" customFormat="1" ht="30" customHeight="1">
      <c r="A32" s="5">
        <v>201930</v>
      </c>
      <c r="B32" s="18">
        <f>SUMIF(SHACRSE!A:A,A32,SHACRSE!J:J)</f>
        <v>3</v>
      </c>
      <c r="C32" s="6">
        <f t="shared" si="0"/>
        <v>900</v>
      </c>
      <c r="D32" s="6">
        <f>SUMIFS(TSAAREV!D:D,TSAAREV!C:C,'Refund Request'!A32,TSAAREV!A:A,"*RG")+(SUMIFS(TSAAREV!D:D,TSAAREV!C:C,'Refund Request'!A32,TSAAREV!A:A,"*TE")+(SUMIFS(TSAAREV!D:D,TSAAREV!C:C,'Refund Request'!A32,TSAAREV!A:A,"*GU")+(SUMIFS(TSAAREV!D:D,TSAAREV!C:C,'Refund Request'!A32,TSAAREV!A:A,"*AD")+(SUMIFS(TSAAREV!D:D,TSAAREV!C:C,'Refund Request'!A32,TSAAREV!A:A,"*AC")+(SUMIFS(TSAAREV!D:D,TSAAREV!C:C,'Refund Request'!A32,TSAAREV!A:A,"*LT"))))))</f>
        <v>330</v>
      </c>
      <c r="E32" s="6">
        <f>SUMIFS(TSAAREV!D:D,TSAAREV!C:C,'Refund Request'!A32,TSAAREV!A:A,"*")-(SUMIFS(TSAAREV!D:D,TSAAREV!C:C,'Refund Request'!A32,TSAAREV!A:A,"*UG")+(SUMIFS(TSAAREV!D:D,TSAAREV!C:C,'Refund Request'!A32,TSAAREV!A:A,"PLNC")+(SUMIFS(TSAAREV!D:D,TSAAREV!C:C,'Refund Request'!A32,TSAAREV!A:A,"*CS")+(SUMIFS(TSAAREV!D:D,TSAAREV!C:C,'Refund Request'!A32,TSAAREV!A:A,"*RG")+(SUMIFS(TSAAREV!D:D,TSAAREV!C:C,'Refund Request'!A32,TSAAREV!A:A,"*TE")+(SUMIFS(TSAAREV!D:D,TSAAREV!C:C,'Refund Request'!A32,TSAAREV!A:A,"*GU")+(SUMIFS(TSAAREV!D:D,TSAAREV!C:C,'Refund Request'!A32,TSAAREV!A:A,"*AD")+(SUMIFS(TSAAREV!D:D,TSAAREV!C:C,'Refund Request'!A32,TSAAREV!A:A,"*AC")+(SUMIFS(TSAAREV!D:D,TSAAREV!C:C,'Refund Request'!A32,TSAAREV!A:A,"*LT"))))))))))</f>
        <v>60</v>
      </c>
      <c r="F32" s="6">
        <f>SUMIFS(TSAAREV!D:D,TSAAREV!C:C,'Refund Request'!A32,TSAAREV!A:A,"PLNC")</f>
        <v>0</v>
      </c>
      <c r="G32" s="6">
        <f t="shared" si="1"/>
        <v>1290</v>
      </c>
      <c r="H32" s="6">
        <f>SUMIFS(TSAAREV!E:E,TSAAREV!C:C,'Refund Request'!A32)-(SUMIFS(TSAAREV!E:E,TSAAREV!C:C,'Refund Request'!A32,TSAAREV!A:A,"GATE")-(SUMIFS(TSAAREV!E:E,TSAAREV!C:C,'Refund Request'!A32,TSAAREV!A:A,"PLNP")-(SUMIFS(TSAAREV!E:E,TSAAREV!C:C,'Refund Request'!A32,TSAAREV!A:A,"PLNM"))))</f>
        <v>1290</v>
      </c>
      <c r="I32" s="7" t="str">
        <f t="shared" ref="I32" si="5">IF(J32&gt;0,"YES",IF(K32&gt;0,"YES","NO"))</f>
        <v>NO</v>
      </c>
      <c r="J32" s="7">
        <v>0</v>
      </c>
      <c r="K32" s="7">
        <v>0</v>
      </c>
      <c r="L32" s="6">
        <f t="shared" si="4"/>
        <v>0</v>
      </c>
      <c r="M32" s="8"/>
    </row>
    <row r="33" spans="1:13" s="9" customFormat="1" ht="30" customHeight="1">
      <c r="A33" s="5">
        <v>202010</v>
      </c>
      <c r="B33" s="18">
        <f>SUMIF(SHACRSE!A:A,A33,SHACRSE!J:J)</f>
        <v>6</v>
      </c>
      <c r="C33" s="6">
        <f t="shared" si="0"/>
        <v>1800</v>
      </c>
      <c r="D33" s="6">
        <f>SUMIFS(TSAAREV!D:D,TSAAREV!C:C,'Refund Request'!A33,TSAAREV!A:A,"*RG")+(SUMIFS(TSAAREV!D:D,TSAAREV!C:C,'Refund Request'!A33,TSAAREV!A:A,"*TE")+(SUMIFS(TSAAREV!D:D,TSAAREV!C:C,'Refund Request'!A33,TSAAREV!A:A,"*GU")+(SUMIFS(TSAAREV!D:D,TSAAREV!C:C,'Refund Request'!A33,TSAAREV!A:A,"*AD")+(SUMIFS(TSAAREV!D:D,TSAAREV!C:C,'Refund Request'!A33,TSAAREV!A:A,"*AC")+(SUMIFS(TSAAREV!D:D,TSAAREV!C:C,'Refund Request'!A33,TSAAREV!A:A,"*LT"))))))</f>
        <v>460</v>
      </c>
      <c r="E33" s="6">
        <f>SUMIFS(TSAAREV!D:D,TSAAREV!C:C,'Refund Request'!A33,TSAAREV!A:A,"*")-(SUMIFS(TSAAREV!D:D,TSAAREV!C:C,'Refund Request'!A33,TSAAREV!A:A,"*UG")+(SUMIFS(TSAAREV!D:D,TSAAREV!C:C,'Refund Request'!A33,TSAAREV!A:A,"PLNC")+(SUMIFS(TSAAREV!D:D,TSAAREV!C:C,'Refund Request'!A33,TSAAREV!A:A,"*CS")+(SUMIFS(TSAAREV!D:D,TSAAREV!C:C,'Refund Request'!A33,TSAAREV!A:A,"*RG")+(SUMIFS(TSAAREV!D:D,TSAAREV!C:C,'Refund Request'!A33,TSAAREV!A:A,"*TE")+(SUMIFS(TSAAREV!D:D,TSAAREV!C:C,'Refund Request'!A33,TSAAREV!A:A,"*GU")+(SUMIFS(TSAAREV!D:D,TSAAREV!C:C,'Refund Request'!A33,TSAAREV!A:A,"*AD")+(SUMIFS(TSAAREV!D:D,TSAAREV!C:C,'Refund Request'!A33,TSAAREV!A:A,"*AC")+(SUMIFS(TSAAREV!D:D,TSAAREV!C:C,'Refund Request'!A33,TSAAREV!A:A,"*LT"))))))))))</f>
        <v>40</v>
      </c>
      <c r="F33" s="6">
        <f>SUMIFS(TSAAREV!D:D,TSAAREV!C:C,'Refund Request'!A33,TSAAREV!A:A,"PLNC")</f>
        <v>0</v>
      </c>
      <c r="G33" s="6">
        <f t="shared" si="1"/>
        <v>2300</v>
      </c>
      <c r="H33" s="6">
        <f>SUMIFS(TSAAREV!E:E,TSAAREV!C:C,'Refund Request'!A33)-(SUMIFS(TSAAREV!E:E,TSAAREV!C:C,'Refund Request'!A33,TSAAREV!A:A,"GATE")-(SUMIFS(TSAAREV!E:E,TSAAREV!C:C,'Refund Request'!A33,TSAAREV!A:A,"PLNP")-(SUMIFS(TSAAREV!E:E,TSAAREV!C:C,'Refund Request'!A33,TSAAREV!A:A,"PLNM"))))</f>
        <v>500</v>
      </c>
      <c r="I33" s="7" t="str">
        <f t="shared" ref="I33:I34" si="6">IF(J33&gt;0,"YES",IF(K33&gt;0,"YES","NO"))</f>
        <v>NO</v>
      </c>
      <c r="J33" s="7">
        <v>0</v>
      </c>
      <c r="K33" s="7">
        <v>0</v>
      </c>
      <c r="L33" s="6">
        <f t="shared" si="4"/>
        <v>1800</v>
      </c>
      <c r="M33" s="8"/>
    </row>
    <row r="34" spans="1:13" s="9" customFormat="1" ht="30" customHeight="1">
      <c r="A34" s="5">
        <v>202020</v>
      </c>
      <c r="B34" s="18">
        <f>SUMIF(SHACRSE!A:A,A34,SHACRSE!J:J)</f>
        <v>6</v>
      </c>
      <c r="C34" s="6">
        <f t="shared" si="0"/>
        <v>1800</v>
      </c>
      <c r="D34" s="6">
        <f>SUMIFS(TSAAREV!D:D,TSAAREV!C:C,'Refund Request'!A34,TSAAREV!A:A,"*RG")+(SUMIFS(TSAAREV!D:D,TSAAREV!C:C,'Refund Request'!A34,TSAAREV!A:A,"*TE")+(SUMIFS(TSAAREV!D:D,TSAAREV!C:C,'Refund Request'!A34,TSAAREV!A:A,"*GU")+(SUMIFS(TSAAREV!D:D,TSAAREV!C:C,'Refund Request'!A34,TSAAREV!A:A,"*AD")+(SUMIFS(TSAAREV!D:D,TSAAREV!C:C,'Refund Request'!A34,TSAAREV!A:A,"*AC")+(SUMIFS(TSAAREV!D:D,TSAAREV!C:C,'Refund Request'!A34,TSAAREV!A:A,"*LT"))))))</f>
        <v>330</v>
      </c>
      <c r="E34" s="6">
        <f>SUMIFS(TSAAREV!D:D,TSAAREV!C:C,'Refund Request'!A34,TSAAREV!A:A,"*")-(SUMIFS(TSAAREV!D:D,TSAAREV!C:C,'Refund Request'!A34,TSAAREV!A:A,"*UG")+(SUMIFS(TSAAREV!D:D,TSAAREV!C:C,'Refund Request'!A34,TSAAREV!A:A,"PLNC")+(SUMIFS(TSAAREV!D:D,TSAAREV!C:C,'Refund Request'!A34,TSAAREV!A:A,"*CS")+(SUMIFS(TSAAREV!D:D,TSAAREV!C:C,'Refund Request'!A34,TSAAREV!A:A,"*RG")+(SUMIFS(TSAAREV!D:D,TSAAREV!C:C,'Refund Request'!A34,TSAAREV!A:A,"*TE")+(SUMIFS(TSAAREV!D:D,TSAAREV!C:C,'Refund Request'!A34,TSAAREV!A:A,"*GU")+(SUMIFS(TSAAREV!D:D,TSAAREV!C:C,'Refund Request'!A34,TSAAREV!A:A,"*AD")+(SUMIFS(TSAAREV!D:D,TSAAREV!C:C,'Refund Request'!A34,TSAAREV!A:A,"*AC")+(SUMIFS(TSAAREV!D:D,TSAAREV!C:C,'Refund Request'!A34,TSAAREV!A:A,"*LT"))))))))))</f>
        <v>0</v>
      </c>
      <c r="F34" s="6">
        <f>SUMIFS(TSAAREV!D:D,TSAAREV!C:C,'Refund Request'!A34,TSAAREV!A:A,"PLNC")</f>
        <v>0</v>
      </c>
      <c r="G34" s="6">
        <f t="shared" si="1"/>
        <v>2130</v>
      </c>
      <c r="H34" s="6">
        <f>SUMIFS(TSAAREV!E:E,TSAAREV!C:C,'Refund Request'!A34)-(SUMIFS(TSAAREV!E:E,TSAAREV!C:C,'Refund Request'!A34,TSAAREV!A:A,"GATE")-(SUMIFS(TSAAREV!E:E,TSAAREV!C:C,'Refund Request'!A34,TSAAREV!A:A,"PLNP")-(SUMIFS(TSAAREV!E:E,TSAAREV!C:C,'Refund Request'!A34,TSAAREV!A:A,"PLNM"))))</f>
        <v>330</v>
      </c>
      <c r="I34" s="7" t="str">
        <f t="shared" si="6"/>
        <v>NO</v>
      </c>
      <c r="J34" s="7">
        <v>0</v>
      </c>
      <c r="K34" s="7">
        <v>0</v>
      </c>
      <c r="L34" s="6">
        <f t="shared" si="4"/>
        <v>1800</v>
      </c>
      <c r="M34" s="8"/>
    </row>
    <row r="35" spans="1:13" s="9" customFormat="1" ht="30" customHeight="1">
      <c r="A35" s="5">
        <v>202110</v>
      </c>
      <c r="B35" s="18">
        <f>SUMIF(SHACRSE!A:A,A35,SHACRSE!J:J)</f>
        <v>0</v>
      </c>
      <c r="C35" s="6">
        <f t="shared" si="0"/>
        <v>0</v>
      </c>
      <c r="D35" s="6">
        <f>SUMIFS(TSAAREV!D:D,TSAAREV!C:C,'Refund Request'!A35,TSAAREV!A:A,"*RG")+(SUMIFS(TSAAREV!D:D,TSAAREV!C:C,'Refund Request'!A35,TSAAREV!A:A,"*TE")+(SUMIFS(TSAAREV!D:D,TSAAREV!C:C,'Refund Request'!A35,TSAAREV!A:A,"*GU")+(SUMIFS(TSAAREV!D:D,TSAAREV!C:C,'Refund Request'!A35,TSAAREV!A:A,"*AD")+(SUMIFS(TSAAREV!D:D,TSAAREV!C:C,'Refund Request'!A35,TSAAREV!A:A,"*AC")+(SUMIFS(TSAAREV!D:D,TSAAREV!C:C,'Refund Request'!A35,TSAAREV!A:A,"*LT"))))))</f>
        <v>0</v>
      </c>
      <c r="E35" s="6">
        <f>SUMIFS(TSAAREV!D:D,TSAAREV!C:C,'Refund Request'!A35,TSAAREV!A:A,"*")-(SUMIFS(TSAAREV!D:D,TSAAREV!C:C,'Refund Request'!A35,TSAAREV!A:A,"*UG")+(SUMIFS(TSAAREV!D:D,TSAAREV!C:C,'Refund Request'!A35,TSAAREV!A:A,"PLNC")+(SUMIFS(TSAAREV!D:D,TSAAREV!C:C,'Refund Request'!A35,TSAAREV!A:A,"*CS")+(SUMIFS(TSAAREV!D:D,TSAAREV!C:C,'Refund Request'!A35,TSAAREV!A:A,"*RG")+(SUMIFS(TSAAREV!D:D,TSAAREV!C:C,'Refund Request'!A35,TSAAREV!A:A,"*TE")+(SUMIFS(TSAAREV!D:D,TSAAREV!C:C,'Refund Request'!A35,TSAAREV!A:A,"*GU")+(SUMIFS(TSAAREV!D:D,TSAAREV!C:C,'Refund Request'!A35,TSAAREV!A:A,"*AD")+(SUMIFS(TSAAREV!D:D,TSAAREV!C:C,'Refund Request'!A35,TSAAREV!A:A,"*AC")+(SUMIFS(TSAAREV!D:D,TSAAREV!C:C,'Refund Request'!A35,TSAAREV!A:A,"*LT"))))))))))</f>
        <v>0</v>
      </c>
      <c r="F35" s="6">
        <f>SUMIFS(TSAAREV!D:D,TSAAREV!C:C,'Refund Request'!A35,TSAAREV!A:A,"PLNC")</f>
        <v>0</v>
      </c>
      <c r="G35" s="6">
        <f t="shared" si="1"/>
        <v>0</v>
      </c>
      <c r="H35" s="6">
        <f>SUMIFS(TSAAREV!E:E,TSAAREV!C:C,'Refund Request'!A35)-(SUMIFS(TSAAREV!E:E,TSAAREV!C:C,'Refund Request'!A35,TSAAREV!A:A,"GATE")-(SUMIFS(TSAAREV!E:E,TSAAREV!C:C,'Refund Request'!A35,TSAAREV!A:A,"PLNP")-(SUMIFS(TSAAREV!E:E,TSAAREV!C:C,'Refund Request'!A35,TSAAREV!A:A,"PLNM"))))</f>
        <v>0</v>
      </c>
      <c r="I35" s="7" t="str">
        <f t="shared" ref="I35" si="7">IF(J35&gt;0,"YES",IF(K35&gt;0,"YES","NO"))</f>
        <v>NO</v>
      </c>
      <c r="J35" s="7">
        <v>0</v>
      </c>
      <c r="K35" s="7">
        <v>0</v>
      </c>
      <c r="L35" s="6">
        <f t="shared" si="4"/>
        <v>0</v>
      </c>
      <c r="M35" s="8"/>
    </row>
    <row r="36" spans="1:13" s="9" customFormat="1" ht="30" customHeight="1">
      <c r="A36" s="5">
        <v>202120</v>
      </c>
      <c r="B36" s="18">
        <f>SUMIF(SHACRSE!A:A,A36,SHACRSE!J:J)</f>
        <v>6</v>
      </c>
      <c r="C36" s="6">
        <f t="shared" si="0"/>
        <v>1800</v>
      </c>
      <c r="D36" s="6">
        <f>SUMIFS(TSAAREV!D:D,TSAAREV!C:C,'Refund Request'!A36,TSAAREV!A:A,"*RG")+(SUMIFS(TSAAREV!D:D,TSAAREV!C:C,'Refund Request'!A36,TSAAREV!A:A,"*TE")+(SUMIFS(TSAAREV!D:D,TSAAREV!C:C,'Refund Request'!A36,TSAAREV!A:A,"*GU")+(SUMIFS(TSAAREV!D:D,TSAAREV!C:C,'Refund Request'!A36,TSAAREV!A:A,"*AD")+(SUMIFS(TSAAREV!D:D,TSAAREV!C:C,'Refund Request'!A36,TSAAREV!A:A,"*AC")+(SUMIFS(TSAAREV!D:D,TSAAREV!C:C,'Refund Request'!A36,TSAAREV!A:A,"*LT"))))))</f>
        <v>410</v>
      </c>
      <c r="E36" s="6">
        <f>SUMIFS(TSAAREV!D:D,TSAAREV!C:C,'Refund Request'!A36,TSAAREV!A:A,"*")-(SUMIFS(TSAAREV!D:D,TSAAREV!C:C,'Refund Request'!A36,TSAAREV!A:A,"*UG")+(SUMIFS(TSAAREV!D:D,TSAAREV!C:C,'Refund Request'!A36,TSAAREV!A:A,"PLNC")+(SUMIFS(TSAAREV!D:D,TSAAREV!C:C,'Refund Request'!A36,TSAAREV!A:A,"*CS")+(SUMIFS(TSAAREV!D:D,TSAAREV!C:C,'Refund Request'!A36,TSAAREV!A:A,"*RG")+(SUMIFS(TSAAREV!D:D,TSAAREV!C:C,'Refund Request'!A36,TSAAREV!A:A,"*TE")+(SUMIFS(TSAAREV!D:D,TSAAREV!C:C,'Refund Request'!A36,TSAAREV!A:A,"*GU")+(SUMIFS(TSAAREV!D:D,TSAAREV!C:C,'Refund Request'!A36,TSAAREV!A:A,"*AD")+(SUMIFS(TSAAREV!D:D,TSAAREV!C:C,'Refund Request'!A36,TSAAREV!A:A,"*AC")+(SUMIFS(TSAAREV!D:D,TSAAREV!C:C,'Refund Request'!A36,TSAAREV!A:A,"*LT"))))))))))</f>
        <v>30</v>
      </c>
      <c r="F36" s="6">
        <f>SUMIFS(TSAAREV!D:D,TSAAREV!C:C,'Refund Request'!A36,TSAAREV!A:A,"PLNC")</f>
        <v>0</v>
      </c>
      <c r="G36" s="6">
        <f t="shared" si="1"/>
        <v>2240</v>
      </c>
      <c r="H36" s="6">
        <f>SUMIFS(TSAAREV!E:E,TSAAREV!C:C,'Refund Request'!A36)-(SUMIFS(TSAAREV!E:E,TSAAREV!C:C,'Refund Request'!A36,TSAAREV!A:A,"GATE")-(SUMIFS(TSAAREV!E:E,TSAAREV!C:C,'Refund Request'!A36,TSAAREV!A:A,"PLNP")-(SUMIFS(TSAAREV!E:E,TSAAREV!C:C,'Refund Request'!A36,TSAAREV!A:A,"PLNM"))))</f>
        <v>890</v>
      </c>
      <c r="I36" s="7" t="str">
        <f t="shared" ref="I36:I40" si="8">IF(J36&gt;0,"YES",IF(K36&gt;0,"YES","NO"))</f>
        <v>NO</v>
      </c>
      <c r="J36" s="7">
        <v>0</v>
      </c>
      <c r="K36" s="7">
        <v>0</v>
      </c>
      <c r="L36" s="6">
        <f t="shared" ref="L36:L40" si="9">(G36-H36-J36-K36)</f>
        <v>1350</v>
      </c>
      <c r="M36" s="8"/>
    </row>
    <row r="37" spans="1:13" s="9" customFormat="1" ht="30" customHeight="1">
      <c r="A37" s="5">
        <v>202210</v>
      </c>
      <c r="B37" s="18">
        <f>SUMIF(SHACRSE!A:A,A37,SHACRSE!J:J)</f>
        <v>0</v>
      </c>
      <c r="C37" s="6">
        <f t="shared" si="0"/>
        <v>0</v>
      </c>
      <c r="D37" s="6">
        <f>SUMIFS(TSAAREV!D:D,TSAAREV!C:C,'Refund Request'!A37,TSAAREV!A:A,"*RG")+(SUMIFS(TSAAREV!D:D,TSAAREV!C:C,'Refund Request'!A37,TSAAREV!A:A,"*TE")+(SUMIFS(TSAAREV!D:D,TSAAREV!C:C,'Refund Request'!A37,TSAAREV!A:A,"*GU")+(SUMIFS(TSAAREV!D:D,TSAAREV!C:C,'Refund Request'!A37,TSAAREV!A:A,"*AD")+(SUMIFS(TSAAREV!D:D,TSAAREV!C:C,'Refund Request'!A37,TSAAREV!A:A,"*AC")+(SUMIFS(TSAAREV!D:D,TSAAREV!C:C,'Refund Request'!A37,TSAAREV!A:A,"*LT"))))))</f>
        <v>0</v>
      </c>
      <c r="E37" s="6">
        <f>SUMIFS(TSAAREV!D:D,TSAAREV!C:C,'Refund Request'!A37,TSAAREV!A:A,"*")-(SUMIFS(TSAAREV!D:D,TSAAREV!C:C,'Refund Request'!A37,TSAAREV!A:A,"*UG")+(SUMIFS(TSAAREV!D:D,TSAAREV!C:C,'Refund Request'!A37,TSAAREV!A:A,"PLNC")+(SUMIFS(TSAAREV!D:D,TSAAREV!C:C,'Refund Request'!A37,TSAAREV!A:A,"*CS")+(SUMIFS(TSAAREV!D:D,TSAAREV!C:C,'Refund Request'!A37,TSAAREV!A:A,"*RG")+(SUMIFS(TSAAREV!D:D,TSAAREV!C:C,'Refund Request'!A37,TSAAREV!A:A,"*TE")+(SUMIFS(TSAAREV!D:D,TSAAREV!C:C,'Refund Request'!A37,TSAAREV!A:A,"*GU")+(SUMIFS(TSAAREV!D:D,TSAAREV!C:C,'Refund Request'!A37,TSAAREV!A:A,"*AD")+(SUMIFS(TSAAREV!D:D,TSAAREV!C:C,'Refund Request'!A37,TSAAREV!A:A,"*AC")+(SUMIFS(TSAAREV!D:D,TSAAREV!C:C,'Refund Request'!A37,TSAAREV!A:A,"*LT"))))))))))</f>
        <v>0</v>
      </c>
      <c r="F37" s="6">
        <f>SUMIFS(TSAAREV!D:D,TSAAREV!C:C,'Refund Request'!A37,TSAAREV!A:A,"PLNC")</f>
        <v>0</v>
      </c>
      <c r="G37" s="6">
        <f t="shared" si="1"/>
        <v>0</v>
      </c>
      <c r="H37" s="6">
        <f>SUMIFS(TSAAREV!E:E,TSAAREV!C:C,'Refund Request'!A37)-(SUMIFS(TSAAREV!E:E,TSAAREV!C:C,'Refund Request'!A37,TSAAREV!A:A,"GATE")-(SUMIFS(TSAAREV!E:E,TSAAREV!C:C,'Refund Request'!A37,TSAAREV!A:A,"PLNP")-(SUMIFS(TSAAREV!E:E,TSAAREV!C:C,'Refund Request'!A37,TSAAREV!A:A,"PLNM"))))</f>
        <v>0</v>
      </c>
      <c r="I37" s="7" t="str">
        <f t="shared" si="8"/>
        <v>NO</v>
      </c>
      <c r="J37" s="7">
        <v>0</v>
      </c>
      <c r="K37" s="7">
        <v>0</v>
      </c>
      <c r="L37" s="6">
        <f t="shared" si="9"/>
        <v>0</v>
      </c>
      <c r="M37" s="8"/>
    </row>
    <row r="38" spans="1:13" s="9" customFormat="1" ht="30" customHeight="1">
      <c r="A38" s="5">
        <v>202220</v>
      </c>
      <c r="B38" s="18">
        <f>SUMIF(SHACRSE!A:A,A38,SHACRSE!J:J)</f>
        <v>0</v>
      </c>
      <c r="C38" s="6">
        <f t="shared" si="0"/>
        <v>0</v>
      </c>
      <c r="D38" s="6">
        <f>SUMIFS(TSAAREV!D:D,TSAAREV!C:C,'Refund Request'!A38,TSAAREV!A:A,"*RG")+(SUMIFS(TSAAREV!D:D,TSAAREV!C:C,'Refund Request'!A38,TSAAREV!A:A,"*TE")+(SUMIFS(TSAAREV!D:D,TSAAREV!C:C,'Refund Request'!A38,TSAAREV!A:A,"*GU")+(SUMIFS(TSAAREV!D:D,TSAAREV!C:C,'Refund Request'!A38,TSAAREV!A:A,"*AD")+(SUMIFS(TSAAREV!D:D,TSAAREV!C:C,'Refund Request'!A38,TSAAREV!A:A,"*AC")+(SUMIFS(TSAAREV!D:D,TSAAREV!C:C,'Refund Request'!A38,TSAAREV!A:A,"*LT"))))))</f>
        <v>0</v>
      </c>
      <c r="E38" s="6">
        <f>SUMIFS(TSAAREV!D:D,TSAAREV!C:C,'Refund Request'!A38,TSAAREV!A:A,"*")-(SUMIFS(TSAAREV!D:D,TSAAREV!C:C,'Refund Request'!A38,TSAAREV!A:A,"*UG")+(SUMIFS(TSAAREV!D:D,TSAAREV!C:C,'Refund Request'!A38,TSAAREV!A:A,"PLNC")+(SUMIFS(TSAAREV!D:D,TSAAREV!C:C,'Refund Request'!A38,TSAAREV!A:A,"*CS")+(SUMIFS(TSAAREV!D:D,TSAAREV!C:C,'Refund Request'!A38,TSAAREV!A:A,"*RG")+(SUMIFS(TSAAREV!D:D,TSAAREV!C:C,'Refund Request'!A38,TSAAREV!A:A,"*TE")+(SUMIFS(TSAAREV!D:D,TSAAREV!C:C,'Refund Request'!A38,TSAAREV!A:A,"*GU")+(SUMIFS(TSAAREV!D:D,TSAAREV!C:C,'Refund Request'!A38,TSAAREV!A:A,"*AD")+(SUMIFS(TSAAREV!D:D,TSAAREV!C:C,'Refund Request'!A38,TSAAREV!A:A,"*AC")+(SUMIFS(TSAAREV!D:D,TSAAREV!C:C,'Refund Request'!A38,TSAAREV!A:A,"*LT"))))))))))</f>
        <v>0</v>
      </c>
      <c r="F38" s="6">
        <f>SUMIFS(TSAAREV!D:D,TSAAREV!C:C,'Refund Request'!A38,TSAAREV!A:A,"PLNC")</f>
        <v>0</v>
      </c>
      <c r="G38" s="6">
        <f t="shared" si="1"/>
        <v>0</v>
      </c>
      <c r="H38" s="6">
        <f>SUMIFS(TSAAREV!E:E,TSAAREV!C:C,'Refund Request'!A38)-(SUMIFS(TSAAREV!E:E,TSAAREV!C:C,'Refund Request'!A38,TSAAREV!A:A,"GATE")-(SUMIFS(TSAAREV!E:E,TSAAREV!C:C,'Refund Request'!A38,TSAAREV!A:A,"PLNP")-(SUMIFS(TSAAREV!E:E,TSAAREV!C:C,'Refund Request'!A38,TSAAREV!A:A,"PLNM"))))</f>
        <v>0</v>
      </c>
      <c r="I38" s="7" t="str">
        <f t="shared" si="8"/>
        <v>NO</v>
      </c>
      <c r="J38" s="7">
        <v>0</v>
      </c>
      <c r="K38" s="7">
        <v>0</v>
      </c>
      <c r="L38" s="6">
        <f t="shared" si="9"/>
        <v>0</v>
      </c>
      <c r="M38" s="8"/>
    </row>
    <row r="39" spans="1:13" s="9" customFormat="1" ht="30" customHeight="1">
      <c r="A39" s="5">
        <v>202310</v>
      </c>
      <c r="B39" s="18">
        <f>SUMIF(SHACRSE!A:A,A39,SHACRSE!J:J)</f>
        <v>3</v>
      </c>
      <c r="C39" s="6">
        <f t="shared" si="0"/>
        <v>900</v>
      </c>
      <c r="D39" s="6">
        <f>SUMIFS(TSAAREV!D:D,TSAAREV!C:C,'Refund Request'!A39,TSAAREV!A:A,"*RG")+(SUMIFS(TSAAREV!D:D,TSAAREV!C:C,'Refund Request'!A39,TSAAREV!A:A,"*TE")+(SUMIFS(TSAAREV!D:D,TSAAREV!C:C,'Refund Request'!A39,TSAAREV!A:A,"*GU")+(SUMIFS(TSAAREV!D:D,TSAAREV!C:C,'Refund Request'!A39,TSAAREV!A:A,"*AD")+(SUMIFS(TSAAREV!D:D,TSAAREV!C:C,'Refund Request'!A39,TSAAREV!A:A,"*AC")+(SUMIFS(TSAAREV!D:D,TSAAREV!C:C,'Refund Request'!A39,TSAAREV!A:A,"*LT"))))))</f>
        <v>0</v>
      </c>
      <c r="E39" s="6">
        <f>SUMIFS(TSAAREV!D:D,TSAAREV!C:C,'Refund Request'!A39,TSAAREV!A:A,"*")-(SUMIFS(TSAAREV!D:D,TSAAREV!C:C,'Refund Request'!A39,TSAAREV!A:A,"*UG")+(SUMIFS(TSAAREV!D:D,TSAAREV!C:C,'Refund Request'!A39,TSAAREV!A:A,"PLNC")+(SUMIFS(TSAAREV!D:D,TSAAREV!C:C,'Refund Request'!A39,TSAAREV!A:A,"*CS")+(SUMIFS(TSAAREV!D:D,TSAAREV!C:C,'Refund Request'!A39,TSAAREV!A:A,"*RG")+(SUMIFS(TSAAREV!D:D,TSAAREV!C:C,'Refund Request'!A39,TSAAREV!A:A,"*TE")+(SUMIFS(TSAAREV!D:D,TSAAREV!C:C,'Refund Request'!A39,TSAAREV!A:A,"*GU")+(SUMIFS(TSAAREV!D:D,TSAAREV!C:C,'Refund Request'!A39,TSAAREV!A:A,"*AD")+(SUMIFS(TSAAREV!D:D,TSAAREV!C:C,'Refund Request'!A39,TSAAREV!A:A,"*AC")+(SUMIFS(TSAAREV!D:D,TSAAREV!C:C,'Refund Request'!A39,TSAAREV!A:A,"*LT"))))))))))</f>
        <v>0</v>
      </c>
      <c r="F39" s="6">
        <f>SUMIFS(TSAAREV!D:D,TSAAREV!C:C,'Refund Request'!A39,TSAAREV!A:A,"PLNC")</f>
        <v>0</v>
      </c>
      <c r="G39" s="6">
        <f t="shared" si="1"/>
        <v>900</v>
      </c>
      <c r="H39" s="6">
        <f>SUMIFS(TSAAREV!E:E,TSAAREV!C:C,'Refund Request'!A39)-(SUMIFS(TSAAREV!E:E,TSAAREV!C:C,'Refund Request'!A39,TSAAREV!A:A,"GATE")-(SUMIFS(TSAAREV!E:E,TSAAREV!C:C,'Refund Request'!A39,TSAAREV!A:A,"PLNP")-(SUMIFS(TSAAREV!E:E,TSAAREV!C:C,'Refund Request'!A39,TSAAREV!A:A,"PLNM"))))</f>
        <v>0</v>
      </c>
      <c r="I39" s="7" t="str">
        <f t="shared" si="8"/>
        <v>NO</v>
      </c>
      <c r="J39" s="7">
        <v>0</v>
      </c>
      <c r="K39" s="7">
        <v>0</v>
      </c>
      <c r="L39" s="6">
        <f t="shared" si="9"/>
        <v>900</v>
      </c>
      <c r="M39" s="8"/>
    </row>
    <row r="40" spans="1:13" s="9" customFormat="1" ht="30" customHeight="1">
      <c r="A40" s="5">
        <v>202320</v>
      </c>
      <c r="B40" s="18">
        <f>SUMIF(SHACRSE!A:A,A40,SHACRSE!J:J)</f>
        <v>0</v>
      </c>
      <c r="C40" s="6">
        <f t="shared" si="0"/>
        <v>0</v>
      </c>
      <c r="D40" s="6">
        <f>SUMIFS(TSAAREV!D:D,TSAAREV!C:C,'Refund Request'!A40,TSAAREV!A:A,"*RG")+(SUMIFS(TSAAREV!D:D,TSAAREV!C:C,'Refund Request'!A40,TSAAREV!A:A,"*TE")+(SUMIFS(TSAAREV!D:D,TSAAREV!C:C,'Refund Request'!A40,TSAAREV!A:A,"*GU")+(SUMIFS(TSAAREV!D:D,TSAAREV!C:C,'Refund Request'!A40,TSAAREV!A:A,"*AD")+(SUMIFS(TSAAREV!D:D,TSAAREV!C:C,'Refund Request'!A40,TSAAREV!A:A,"*AC")+(SUMIFS(TSAAREV!D:D,TSAAREV!C:C,'Refund Request'!A40,TSAAREV!A:A,"*LT"))))))</f>
        <v>0</v>
      </c>
      <c r="E40" s="6">
        <f>SUMIFS(TSAAREV!D:D,TSAAREV!C:C,'Refund Request'!A40,TSAAREV!A:A,"*")-(SUMIFS(TSAAREV!D:D,TSAAREV!C:C,'Refund Request'!A40,TSAAREV!A:A,"*UG")+(SUMIFS(TSAAREV!D:D,TSAAREV!C:C,'Refund Request'!A40,TSAAREV!A:A,"PLNC")+(SUMIFS(TSAAREV!D:D,TSAAREV!C:C,'Refund Request'!A40,TSAAREV!A:A,"*CS")+(SUMIFS(TSAAREV!D:D,TSAAREV!C:C,'Refund Request'!A40,TSAAREV!A:A,"*RG")+(SUMIFS(TSAAREV!D:D,TSAAREV!C:C,'Refund Request'!A40,TSAAREV!A:A,"*TE")+(SUMIFS(TSAAREV!D:D,TSAAREV!C:C,'Refund Request'!A40,TSAAREV!A:A,"*GU")+(SUMIFS(TSAAREV!D:D,TSAAREV!C:C,'Refund Request'!A40,TSAAREV!A:A,"*AD")+(SUMIFS(TSAAREV!D:D,TSAAREV!C:C,'Refund Request'!A40,TSAAREV!A:A,"*AC")+(SUMIFS(TSAAREV!D:D,TSAAREV!C:C,'Refund Request'!A40,TSAAREV!A:A,"*LT"))))))))))</f>
        <v>0</v>
      </c>
      <c r="F40" s="6">
        <f>SUMIFS(TSAAREV!D:D,TSAAREV!C:C,'Refund Request'!A40,TSAAREV!A:A,"PLNC")</f>
        <v>0</v>
      </c>
      <c r="G40" s="6">
        <f t="shared" ref="G40" si="10">SUM(C40:E40)</f>
        <v>0</v>
      </c>
      <c r="H40" s="6">
        <f>SUMIFS(TSAAREV!E:E,TSAAREV!C:C,'Refund Request'!A40)-(SUMIFS(TSAAREV!E:E,TSAAREV!C:C,'Refund Request'!A40,TSAAREV!A:A,"GATE")-(SUMIFS(TSAAREV!E:E,TSAAREV!C:C,'Refund Request'!A40,TSAAREV!A:A,"PLNP")-(SUMIFS(TSAAREV!E:E,TSAAREV!C:C,'Refund Request'!A40,TSAAREV!A:A,"PLNM"))))</f>
        <v>0</v>
      </c>
      <c r="I40" s="7" t="str">
        <f t="shared" si="8"/>
        <v>NO</v>
      </c>
      <c r="J40" s="7">
        <v>0</v>
      </c>
      <c r="K40" s="7">
        <v>0</v>
      </c>
      <c r="L40" s="6">
        <f t="shared" si="9"/>
        <v>0</v>
      </c>
      <c r="M40" s="8"/>
    </row>
    <row r="41" spans="1:13" s="9" customFormat="1" ht="30" customHeight="1">
      <c r="A41" s="10"/>
      <c r="B41" s="15">
        <f t="shared" ref="B41:H41" si="11">SUM(B9:B40)</f>
        <v>135</v>
      </c>
      <c r="C41" s="11">
        <f t="shared" si="11"/>
        <v>40500</v>
      </c>
      <c r="D41" s="11">
        <f t="shared" si="11"/>
        <v>5080</v>
      </c>
      <c r="E41" s="11">
        <f t="shared" si="11"/>
        <v>1682</v>
      </c>
      <c r="F41" s="11">
        <f t="shared" si="11"/>
        <v>0</v>
      </c>
      <c r="G41" s="11">
        <f t="shared" si="11"/>
        <v>47262</v>
      </c>
      <c r="H41" s="11">
        <f t="shared" si="11"/>
        <v>14862</v>
      </c>
      <c r="I41" s="11"/>
      <c r="J41" s="11">
        <f>SUM(J9:J40)</f>
        <v>0</v>
      </c>
      <c r="K41" s="11">
        <f>SUM(K9:K40)</f>
        <v>0</v>
      </c>
      <c r="L41" s="12">
        <f>SUM(L9:L40)</f>
        <v>32400</v>
      </c>
      <c r="M41" s="24"/>
    </row>
    <row r="43" spans="1:13" ht="18.75">
      <c r="A43" s="16" t="s">
        <v>22</v>
      </c>
    </row>
    <row r="44" spans="1:13">
      <c r="A44" s="22"/>
    </row>
    <row r="47" spans="1:13">
      <c r="M47"/>
    </row>
    <row r="48" spans="1:13">
      <c r="M48"/>
    </row>
    <row r="49" spans="13:13">
      <c r="M49"/>
    </row>
    <row r="50" spans="13:13">
      <c r="M50"/>
    </row>
    <row r="51" spans="13:13">
      <c r="M51"/>
    </row>
  </sheetData>
  <mergeCells count="6">
    <mergeCell ref="B1:D1"/>
    <mergeCell ref="B2:D2"/>
    <mergeCell ref="B4:D4"/>
    <mergeCell ref="B5:D5"/>
    <mergeCell ref="B6:D6"/>
    <mergeCell ref="B3:D3"/>
  </mergeCells>
  <pageMargins left="0.7" right="0.7" top="0.75" bottom="0.75" header="0.3" footer="0.3"/>
  <pageSetup paperSize="5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31"/>
  <sheetViews>
    <sheetView tabSelected="1" topLeftCell="B1" workbookViewId="0">
      <selection activeCell="B1" sqref="B1:N34"/>
    </sheetView>
  </sheetViews>
  <sheetFormatPr defaultRowHeight="15"/>
  <cols>
    <col min="1" max="1" width="9.140625" hidden="1" customWidth="1"/>
  </cols>
  <sheetData>
    <row r="1" spans="1:14">
      <c r="B1">
        <v>50666</v>
      </c>
      <c r="C1" t="s">
        <v>23</v>
      </c>
    </row>
    <row r="2" spans="1:14">
      <c r="A2">
        <f>IF(K2="W","",B2)</f>
        <v>201310</v>
      </c>
      <c r="B2">
        <v>201310</v>
      </c>
      <c r="C2">
        <v>1</v>
      </c>
      <c r="D2" t="s">
        <v>24</v>
      </c>
      <c r="E2" t="s">
        <v>25</v>
      </c>
      <c r="F2">
        <v>12689</v>
      </c>
      <c r="G2" t="s">
        <v>26</v>
      </c>
      <c r="H2">
        <v>90</v>
      </c>
      <c r="I2" t="s">
        <v>27</v>
      </c>
      <c r="J2">
        <v>3</v>
      </c>
      <c r="K2" t="s">
        <v>28</v>
      </c>
      <c r="L2" t="s">
        <v>29</v>
      </c>
      <c r="N2" t="s">
        <v>30</v>
      </c>
    </row>
    <row r="3" spans="1:14">
      <c r="A3">
        <f t="shared" ref="A3:A30" si="0">IF(K3="W","",B3)</f>
        <v>201310</v>
      </c>
      <c r="B3">
        <v>201310</v>
      </c>
      <c r="C3">
        <v>1</v>
      </c>
      <c r="D3" t="s">
        <v>24</v>
      </c>
      <c r="E3" t="s">
        <v>25</v>
      </c>
      <c r="F3">
        <v>12593</v>
      </c>
      <c r="G3" t="s">
        <v>31</v>
      </c>
      <c r="H3">
        <v>91</v>
      </c>
      <c r="I3" t="s">
        <v>32</v>
      </c>
      <c r="J3">
        <v>3</v>
      </c>
      <c r="K3" t="s">
        <v>33</v>
      </c>
      <c r="L3" t="s">
        <v>29</v>
      </c>
      <c r="N3" t="s">
        <v>34</v>
      </c>
    </row>
    <row r="4" spans="1:14">
      <c r="A4">
        <f t="shared" si="0"/>
        <v>201310</v>
      </c>
      <c r="B4">
        <v>201310</v>
      </c>
      <c r="C4">
        <v>1</v>
      </c>
      <c r="D4" t="s">
        <v>25</v>
      </c>
      <c r="E4" t="s">
        <v>25</v>
      </c>
      <c r="F4">
        <v>13040</v>
      </c>
      <c r="G4" t="s">
        <v>35</v>
      </c>
      <c r="H4">
        <v>90</v>
      </c>
      <c r="I4" t="s">
        <v>36</v>
      </c>
      <c r="J4">
        <v>3</v>
      </c>
      <c r="K4" t="s">
        <v>37</v>
      </c>
      <c r="L4" t="s">
        <v>29</v>
      </c>
      <c r="N4" t="s">
        <v>38</v>
      </c>
    </row>
    <row r="5" spans="1:14">
      <c r="A5">
        <f t="shared" si="0"/>
        <v>201310</v>
      </c>
      <c r="B5">
        <v>201310</v>
      </c>
      <c r="C5">
        <v>1</v>
      </c>
      <c r="D5" t="s">
        <v>24</v>
      </c>
      <c r="E5" t="s">
        <v>25</v>
      </c>
      <c r="F5">
        <v>12245</v>
      </c>
      <c r="G5" t="s">
        <v>39</v>
      </c>
      <c r="H5">
        <v>95</v>
      </c>
      <c r="I5" t="s">
        <v>40</v>
      </c>
      <c r="J5">
        <v>3</v>
      </c>
      <c r="K5" t="s">
        <v>41</v>
      </c>
      <c r="L5" t="s">
        <v>29</v>
      </c>
      <c r="N5" t="s">
        <v>42</v>
      </c>
    </row>
    <row r="6" spans="1:14">
      <c r="A6">
        <f t="shared" si="0"/>
        <v>201320</v>
      </c>
      <c r="B6">
        <v>201320</v>
      </c>
      <c r="C6">
        <v>1</v>
      </c>
      <c r="D6" t="s">
        <v>24</v>
      </c>
      <c r="E6" t="s">
        <v>25</v>
      </c>
      <c r="F6">
        <v>25212</v>
      </c>
      <c r="G6" t="s">
        <v>26</v>
      </c>
      <c r="H6">
        <v>92</v>
      </c>
      <c r="I6" t="s">
        <v>43</v>
      </c>
      <c r="J6">
        <v>3</v>
      </c>
      <c r="K6" t="s">
        <v>33</v>
      </c>
      <c r="L6" t="s">
        <v>29</v>
      </c>
      <c r="N6" t="s">
        <v>44</v>
      </c>
    </row>
    <row r="7" spans="1:14">
      <c r="A7">
        <f t="shared" si="0"/>
        <v>201320</v>
      </c>
      <c r="B7">
        <v>201320</v>
      </c>
      <c r="C7">
        <v>1</v>
      </c>
      <c r="D7" t="s">
        <v>24</v>
      </c>
      <c r="E7" t="s">
        <v>25</v>
      </c>
      <c r="F7">
        <v>24999</v>
      </c>
      <c r="G7" t="s">
        <v>31</v>
      </c>
      <c r="H7">
        <v>92</v>
      </c>
      <c r="I7" t="s">
        <v>45</v>
      </c>
      <c r="J7">
        <v>3</v>
      </c>
      <c r="K7" t="s">
        <v>37</v>
      </c>
      <c r="L7" t="s">
        <v>29</v>
      </c>
      <c r="N7" t="s">
        <v>46</v>
      </c>
    </row>
    <row r="8" spans="1:14">
      <c r="A8">
        <f t="shared" si="0"/>
        <v>201320</v>
      </c>
      <c r="B8">
        <v>201320</v>
      </c>
      <c r="C8">
        <v>1</v>
      </c>
      <c r="D8" t="s">
        <v>24</v>
      </c>
      <c r="E8" t="s">
        <v>25</v>
      </c>
      <c r="F8">
        <v>25339</v>
      </c>
      <c r="G8" t="s">
        <v>39</v>
      </c>
      <c r="H8">
        <v>97</v>
      </c>
      <c r="I8" t="s">
        <v>43</v>
      </c>
      <c r="J8">
        <v>3</v>
      </c>
      <c r="K8" t="s">
        <v>29</v>
      </c>
      <c r="L8" t="s">
        <v>29</v>
      </c>
      <c r="N8" t="s">
        <v>47</v>
      </c>
    </row>
    <row r="9" spans="1:14">
      <c r="A9">
        <f t="shared" si="0"/>
        <v>201330</v>
      </c>
      <c r="B9">
        <v>201330</v>
      </c>
      <c r="C9">
        <v>1</v>
      </c>
      <c r="D9" t="s">
        <v>24</v>
      </c>
      <c r="E9" t="s">
        <v>48</v>
      </c>
      <c r="F9">
        <v>36828</v>
      </c>
      <c r="G9" t="s">
        <v>49</v>
      </c>
      <c r="H9">
        <v>117</v>
      </c>
      <c r="I9" t="s">
        <v>27</v>
      </c>
      <c r="J9">
        <v>3</v>
      </c>
      <c r="K9" t="s">
        <v>28</v>
      </c>
      <c r="L9" t="s">
        <v>50</v>
      </c>
      <c r="N9" t="s">
        <v>51</v>
      </c>
    </row>
    <row r="10" spans="1:14">
      <c r="A10" t="str">
        <f t="shared" si="0"/>
        <v/>
      </c>
      <c r="B10">
        <v>201410</v>
      </c>
      <c r="C10">
        <v>1</v>
      </c>
      <c r="D10" t="s">
        <v>24</v>
      </c>
      <c r="E10" t="s">
        <v>25</v>
      </c>
      <c r="F10">
        <v>14876</v>
      </c>
      <c r="G10" t="s">
        <v>35</v>
      </c>
      <c r="H10">
        <v>92</v>
      </c>
      <c r="I10" t="s">
        <v>52</v>
      </c>
      <c r="J10">
        <v>3</v>
      </c>
      <c r="K10" t="s">
        <v>53</v>
      </c>
      <c r="L10" t="s">
        <v>29</v>
      </c>
      <c r="N10" t="s">
        <v>54</v>
      </c>
    </row>
    <row r="11" spans="1:14">
      <c r="A11">
        <f t="shared" si="0"/>
        <v>201720</v>
      </c>
      <c r="B11">
        <v>201720</v>
      </c>
      <c r="C11">
        <v>1</v>
      </c>
      <c r="D11" t="s">
        <v>24</v>
      </c>
      <c r="E11" t="s">
        <v>48</v>
      </c>
      <c r="F11">
        <v>22919</v>
      </c>
      <c r="G11" t="s">
        <v>26</v>
      </c>
      <c r="H11">
        <v>113</v>
      </c>
      <c r="I11" t="s">
        <v>43</v>
      </c>
      <c r="J11">
        <v>3</v>
      </c>
      <c r="K11" t="s">
        <v>28</v>
      </c>
      <c r="L11" t="s">
        <v>50</v>
      </c>
      <c r="N11" t="s">
        <v>55</v>
      </c>
    </row>
    <row r="12" spans="1:14">
      <c r="A12">
        <f t="shared" si="0"/>
        <v>201720</v>
      </c>
      <c r="B12">
        <v>201720</v>
      </c>
      <c r="C12">
        <v>1</v>
      </c>
      <c r="D12" t="s">
        <v>25</v>
      </c>
      <c r="E12" t="s">
        <v>48</v>
      </c>
      <c r="F12">
        <v>22004</v>
      </c>
      <c r="G12" t="s">
        <v>49</v>
      </c>
      <c r="H12">
        <v>118</v>
      </c>
      <c r="I12" t="s">
        <v>56</v>
      </c>
      <c r="J12">
        <v>3</v>
      </c>
      <c r="K12" t="s">
        <v>57</v>
      </c>
      <c r="L12" t="s">
        <v>50</v>
      </c>
      <c r="N12" t="s">
        <v>58</v>
      </c>
    </row>
    <row r="13" spans="1:14">
      <c r="A13">
        <f t="shared" si="0"/>
        <v>201730</v>
      </c>
      <c r="B13">
        <v>201730</v>
      </c>
      <c r="C13">
        <v>1</v>
      </c>
      <c r="D13" t="s">
        <v>25</v>
      </c>
      <c r="E13" t="s">
        <v>48</v>
      </c>
      <c r="F13">
        <v>31467</v>
      </c>
      <c r="G13" t="s">
        <v>59</v>
      </c>
      <c r="H13">
        <v>220</v>
      </c>
      <c r="I13" t="s">
        <v>36</v>
      </c>
      <c r="J13">
        <v>3</v>
      </c>
      <c r="K13" t="s">
        <v>29</v>
      </c>
      <c r="L13" t="s">
        <v>50</v>
      </c>
      <c r="N13" t="s">
        <v>60</v>
      </c>
    </row>
    <row r="14" spans="1:14">
      <c r="A14">
        <f t="shared" si="0"/>
        <v>201730</v>
      </c>
      <c r="B14">
        <v>201730</v>
      </c>
      <c r="C14">
        <v>1</v>
      </c>
      <c r="D14" t="s">
        <v>25</v>
      </c>
      <c r="E14" t="s">
        <v>48</v>
      </c>
      <c r="F14">
        <v>31475</v>
      </c>
      <c r="G14" t="s">
        <v>61</v>
      </c>
      <c r="H14">
        <v>110</v>
      </c>
      <c r="I14" t="s">
        <v>36</v>
      </c>
      <c r="J14">
        <v>3</v>
      </c>
      <c r="K14" t="s">
        <v>41</v>
      </c>
      <c r="L14" t="s">
        <v>50</v>
      </c>
      <c r="N14" t="s">
        <v>62</v>
      </c>
    </row>
    <row r="15" spans="1:14">
      <c r="A15">
        <f t="shared" si="0"/>
        <v>201810</v>
      </c>
      <c r="B15">
        <v>201810</v>
      </c>
      <c r="C15">
        <v>1</v>
      </c>
      <c r="D15" t="s">
        <v>25</v>
      </c>
      <c r="E15" t="s">
        <v>48</v>
      </c>
      <c r="F15">
        <v>15035</v>
      </c>
      <c r="G15" t="s">
        <v>59</v>
      </c>
      <c r="H15">
        <v>221</v>
      </c>
      <c r="I15" t="s">
        <v>36</v>
      </c>
      <c r="J15">
        <v>3</v>
      </c>
      <c r="K15" t="s">
        <v>28</v>
      </c>
      <c r="L15" t="s">
        <v>50</v>
      </c>
      <c r="N15" t="s">
        <v>63</v>
      </c>
    </row>
    <row r="16" spans="1:14">
      <c r="A16">
        <f t="shared" si="0"/>
        <v>201810</v>
      </c>
      <c r="B16">
        <v>201810</v>
      </c>
      <c r="C16">
        <v>1</v>
      </c>
      <c r="D16" t="s">
        <v>64</v>
      </c>
      <c r="E16" t="s">
        <v>48</v>
      </c>
      <c r="F16">
        <v>14288</v>
      </c>
      <c r="G16" t="s">
        <v>61</v>
      </c>
      <c r="H16">
        <v>100</v>
      </c>
      <c r="I16" t="s">
        <v>65</v>
      </c>
      <c r="J16">
        <v>3</v>
      </c>
      <c r="K16" t="s">
        <v>41</v>
      </c>
      <c r="L16" t="s">
        <v>50</v>
      </c>
      <c r="N16" t="s">
        <v>66</v>
      </c>
    </row>
    <row r="17" spans="1:14">
      <c r="A17">
        <f t="shared" si="0"/>
        <v>201810</v>
      </c>
      <c r="B17">
        <v>201810</v>
      </c>
      <c r="C17">
        <v>1</v>
      </c>
      <c r="D17" t="s">
        <v>24</v>
      </c>
      <c r="E17" t="s">
        <v>25</v>
      </c>
      <c r="F17">
        <v>14474</v>
      </c>
      <c r="G17" t="s">
        <v>31</v>
      </c>
      <c r="H17">
        <v>93</v>
      </c>
      <c r="I17" t="s">
        <v>43</v>
      </c>
      <c r="J17">
        <v>3</v>
      </c>
      <c r="K17" t="s">
        <v>67</v>
      </c>
      <c r="L17" t="s">
        <v>29</v>
      </c>
      <c r="M17" t="s">
        <v>68</v>
      </c>
      <c r="N17" t="s">
        <v>69</v>
      </c>
    </row>
    <row r="18" spans="1:14">
      <c r="A18">
        <f t="shared" si="0"/>
        <v>201820</v>
      </c>
      <c r="B18">
        <v>201820</v>
      </c>
      <c r="C18">
        <v>1</v>
      </c>
      <c r="D18" t="s">
        <v>24</v>
      </c>
      <c r="E18" t="s">
        <v>48</v>
      </c>
      <c r="F18">
        <v>24338</v>
      </c>
      <c r="G18" t="s">
        <v>59</v>
      </c>
      <c r="H18">
        <v>223</v>
      </c>
      <c r="I18" t="s">
        <v>43</v>
      </c>
      <c r="J18">
        <v>3</v>
      </c>
      <c r="K18" t="s">
        <v>41</v>
      </c>
      <c r="L18" t="s">
        <v>50</v>
      </c>
      <c r="N18" t="s">
        <v>70</v>
      </c>
    </row>
    <row r="19" spans="1:14">
      <c r="A19">
        <f t="shared" si="0"/>
        <v>201820</v>
      </c>
      <c r="B19">
        <v>201820</v>
      </c>
      <c r="C19">
        <v>1</v>
      </c>
      <c r="D19" t="s">
        <v>25</v>
      </c>
      <c r="E19" t="s">
        <v>48</v>
      </c>
      <c r="F19">
        <v>23753</v>
      </c>
      <c r="G19" t="s">
        <v>71</v>
      </c>
      <c r="H19">
        <v>130</v>
      </c>
      <c r="I19" t="s">
        <v>72</v>
      </c>
      <c r="J19">
        <v>3</v>
      </c>
      <c r="K19" t="s">
        <v>73</v>
      </c>
      <c r="L19" t="s">
        <v>50</v>
      </c>
      <c r="N19" t="s">
        <v>74</v>
      </c>
    </row>
    <row r="20" spans="1:14">
      <c r="A20">
        <f t="shared" si="0"/>
        <v>201820</v>
      </c>
      <c r="B20">
        <v>201820</v>
      </c>
      <c r="C20">
        <v>1</v>
      </c>
      <c r="D20" t="s">
        <v>24</v>
      </c>
      <c r="E20" t="s">
        <v>25</v>
      </c>
      <c r="F20">
        <v>24005</v>
      </c>
      <c r="G20" t="s">
        <v>31</v>
      </c>
      <c r="H20">
        <v>93</v>
      </c>
      <c r="I20" t="s">
        <v>75</v>
      </c>
      <c r="J20">
        <v>3</v>
      </c>
      <c r="K20" t="s">
        <v>33</v>
      </c>
      <c r="L20" t="s">
        <v>29</v>
      </c>
      <c r="M20" t="s">
        <v>76</v>
      </c>
      <c r="N20" t="s">
        <v>69</v>
      </c>
    </row>
    <row r="21" spans="1:14">
      <c r="A21">
        <f t="shared" si="0"/>
        <v>201820</v>
      </c>
      <c r="B21">
        <v>201820</v>
      </c>
      <c r="C21">
        <v>1</v>
      </c>
      <c r="D21" t="s">
        <v>25</v>
      </c>
      <c r="E21" t="s">
        <v>48</v>
      </c>
      <c r="F21">
        <v>24311</v>
      </c>
      <c r="G21" t="s">
        <v>77</v>
      </c>
      <c r="H21">
        <v>121</v>
      </c>
      <c r="I21" t="s">
        <v>78</v>
      </c>
      <c r="J21">
        <v>3</v>
      </c>
      <c r="K21" t="s">
        <v>57</v>
      </c>
      <c r="L21" t="s">
        <v>50</v>
      </c>
      <c r="N21" t="s">
        <v>79</v>
      </c>
    </row>
    <row r="22" spans="1:14">
      <c r="A22">
        <f t="shared" si="0"/>
        <v>201910</v>
      </c>
      <c r="B22">
        <v>201910</v>
      </c>
      <c r="C22">
        <v>1</v>
      </c>
      <c r="D22" t="s">
        <v>24</v>
      </c>
      <c r="E22" t="s">
        <v>48</v>
      </c>
      <c r="F22">
        <v>16432</v>
      </c>
      <c r="G22" t="s">
        <v>59</v>
      </c>
      <c r="H22">
        <v>136</v>
      </c>
      <c r="I22" t="s">
        <v>43</v>
      </c>
      <c r="J22">
        <v>3</v>
      </c>
      <c r="K22" t="s">
        <v>73</v>
      </c>
      <c r="L22" t="s">
        <v>50</v>
      </c>
      <c r="N22" t="s">
        <v>80</v>
      </c>
    </row>
    <row r="23" spans="1:14">
      <c r="A23">
        <f t="shared" si="0"/>
        <v>201910</v>
      </c>
      <c r="B23">
        <v>201910</v>
      </c>
      <c r="C23">
        <v>1</v>
      </c>
      <c r="D23" t="s">
        <v>24</v>
      </c>
      <c r="E23" t="s">
        <v>48</v>
      </c>
      <c r="F23">
        <v>16430</v>
      </c>
      <c r="G23" t="s">
        <v>81</v>
      </c>
      <c r="H23">
        <v>215</v>
      </c>
      <c r="I23" t="s">
        <v>43</v>
      </c>
      <c r="J23">
        <v>3</v>
      </c>
      <c r="K23" t="s">
        <v>28</v>
      </c>
      <c r="L23" t="s">
        <v>50</v>
      </c>
      <c r="N23" t="s">
        <v>82</v>
      </c>
    </row>
    <row r="24" spans="1:14">
      <c r="A24">
        <f t="shared" si="0"/>
        <v>201910</v>
      </c>
      <c r="B24">
        <v>201910</v>
      </c>
      <c r="C24">
        <v>1</v>
      </c>
      <c r="D24" t="s">
        <v>24</v>
      </c>
      <c r="E24" t="s">
        <v>48</v>
      </c>
      <c r="F24">
        <v>16810</v>
      </c>
      <c r="G24" t="s">
        <v>83</v>
      </c>
      <c r="H24">
        <v>210</v>
      </c>
      <c r="I24" t="s">
        <v>27</v>
      </c>
      <c r="J24">
        <v>3</v>
      </c>
      <c r="K24" t="s">
        <v>41</v>
      </c>
      <c r="L24" t="s">
        <v>50</v>
      </c>
      <c r="N24" t="s">
        <v>84</v>
      </c>
    </row>
    <row r="25" spans="1:14">
      <c r="A25">
        <f t="shared" si="0"/>
        <v>201910</v>
      </c>
      <c r="B25">
        <v>201910</v>
      </c>
      <c r="C25">
        <v>1</v>
      </c>
      <c r="D25" t="s">
        <v>24</v>
      </c>
      <c r="E25" t="s">
        <v>48</v>
      </c>
      <c r="F25">
        <v>16205</v>
      </c>
      <c r="G25" t="s">
        <v>31</v>
      </c>
      <c r="H25">
        <v>117</v>
      </c>
      <c r="I25" t="s">
        <v>43</v>
      </c>
      <c r="J25">
        <v>3</v>
      </c>
      <c r="K25" t="s">
        <v>67</v>
      </c>
      <c r="L25" t="s">
        <v>50</v>
      </c>
      <c r="M25" t="s">
        <v>68</v>
      </c>
      <c r="N25" t="s">
        <v>85</v>
      </c>
    </row>
    <row r="26" spans="1:14">
      <c r="A26">
        <f t="shared" si="0"/>
        <v>201920</v>
      </c>
      <c r="B26">
        <v>201920</v>
      </c>
      <c r="C26">
        <v>1</v>
      </c>
      <c r="D26" t="s">
        <v>24</v>
      </c>
      <c r="E26" t="s">
        <v>48</v>
      </c>
      <c r="F26">
        <v>25909</v>
      </c>
      <c r="G26" t="s">
        <v>59</v>
      </c>
      <c r="H26">
        <v>124</v>
      </c>
      <c r="I26" t="s">
        <v>43</v>
      </c>
      <c r="J26">
        <v>3</v>
      </c>
      <c r="K26" t="s">
        <v>41</v>
      </c>
      <c r="L26" t="s">
        <v>50</v>
      </c>
      <c r="N26" t="s">
        <v>86</v>
      </c>
    </row>
    <row r="27" spans="1:14">
      <c r="A27">
        <f t="shared" si="0"/>
        <v>201920</v>
      </c>
      <c r="B27">
        <v>201920</v>
      </c>
      <c r="C27">
        <v>1</v>
      </c>
      <c r="D27" t="s">
        <v>24</v>
      </c>
      <c r="E27" t="s">
        <v>48</v>
      </c>
      <c r="F27">
        <v>25733</v>
      </c>
      <c r="G27" t="s">
        <v>59</v>
      </c>
      <c r="H27">
        <v>211</v>
      </c>
      <c r="I27" t="s">
        <v>43</v>
      </c>
      <c r="J27">
        <v>3</v>
      </c>
      <c r="K27" t="s">
        <v>28</v>
      </c>
      <c r="L27" t="s">
        <v>50</v>
      </c>
      <c r="N27" t="s">
        <v>87</v>
      </c>
    </row>
    <row r="28" spans="1:14">
      <c r="A28">
        <f t="shared" si="0"/>
        <v>201920</v>
      </c>
      <c r="B28">
        <v>201920</v>
      </c>
      <c r="C28">
        <v>1</v>
      </c>
      <c r="D28" t="s">
        <v>24</v>
      </c>
      <c r="E28" t="s">
        <v>48</v>
      </c>
      <c r="F28">
        <v>25741</v>
      </c>
      <c r="G28" t="s">
        <v>81</v>
      </c>
      <c r="H28">
        <v>121</v>
      </c>
      <c r="I28" t="s">
        <v>43</v>
      </c>
      <c r="J28">
        <v>1</v>
      </c>
      <c r="K28" t="s">
        <v>41</v>
      </c>
      <c r="L28" t="s">
        <v>50</v>
      </c>
      <c r="N28" t="s">
        <v>88</v>
      </c>
    </row>
    <row r="29" spans="1:14">
      <c r="A29">
        <f t="shared" si="0"/>
        <v>201930</v>
      </c>
      <c r="B29">
        <v>201930</v>
      </c>
      <c r="C29">
        <v>1</v>
      </c>
      <c r="D29" t="s">
        <v>24</v>
      </c>
      <c r="E29" t="s">
        <v>48</v>
      </c>
      <c r="F29">
        <v>33075</v>
      </c>
      <c r="G29" t="s">
        <v>31</v>
      </c>
      <c r="H29">
        <v>117</v>
      </c>
      <c r="I29" t="s">
        <v>43</v>
      </c>
      <c r="J29">
        <v>3</v>
      </c>
      <c r="K29" t="s">
        <v>33</v>
      </c>
      <c r="L29" t="s">
        <v>50</v>
      </c>
      <c r="M29" t="s">
        <v>76</v>
      </c>
      <c r="N29" t="s">
        <v>85</v>
      </c>
    </row>
    <row r="30" spans="1:14">
      <c r="A30">
        <f t="shared" si="0"/>
        <v>202010</v>
      </c>
      <c r="B30">
        <v>202010</v>
      </c>
      <c r="C30">
        <v>1</v>
      </c>
      <c r="D30" t="s">
        <v>24</v>
      </c>
      <c r="E30" t="s">
        <v>48</v>
      </c>
      <c r="F30">
        <v>17988</v>
      </c>
      <c r="G30" t="s">
        <v>59</v>
      </c>
      <c r="H30">
        <v>212</v>
      </c>
      <c r="I30" t="s">
        <v>43</v>
      </c>
      <c r="J30">
        <v>3</v>
      </c>
      <c r="K30" t="s">
        <v>29</v>
      </c>
      <c r="L30" t="s">
        <v>50</v>
      </c>
      <c r="N30" t="s">
        <v>89</v>
      </c>
    </row>
    <row r="31" spans="1:14">
      <c r="A31">
        <f>IF(K31="W","",B31)</f>
        <v>202010</v>
      </c>
      <c r="B31">
        <v>202010</v>
      </c>
      <c r="C31">
        <v>1</v>
      </c>
      <c r="D31" t="s">
        <v>24</v>
      </c>
      <c r="E31" t="s">
        <v>48</v>
      </c>
      <c r="F31">
        <v>17949</v>
      </c>
      <c r="G31" t="s">
        <v>90</v>
      </c>
      <c r="H31">
        <v>120</v>
      </c>
      <c r="I31" t="s">
        <v>27</v>
      </c>
      <c r="J31">
        <v>3</v>
      </c>
      <c r="K31" t="s">
        <v>28</v>
      </c>
      <c r="L31" t="s">
        <v>50</v>
      </c>
      <c r="N31" t="s">
        <v>91</v>
      </c>
    </row>
    <row r="32" spans="1:14">
      <c r="A32">
        <f t="shared" ref="A32:A95" si="1">IF(K32="W","",B32)</f>
        <v>202020</v>
      </c>
      <c r="B32">
        <v>202020</v>
      </c>
      <c r="C32">
        <v>1</v>
      </c>
      <c r="D32" t="s">
        <v>24</v>
      </c>
      <c r="E32" t="s">
        <v>48</v>
      </c>
      <c r="F32">
        <v>27191</v>
      </c>
      <c r="G32" t="s">
        <v>59</v>
      </c>
      <c r="H32">
        <v>122</v>
      </c>
      <c r="I32" t="s">
        <v>43</v>
      </c>
      <c r="J32">
        <v>3</v>
      </c>
      <c r="K32" t="s">
        <v>29</v>
      </c>
      <c r="L32" t="s">
        <v>50</v>
      </c>
      <c r="N32" t="s">
        <v>92</v>
      </c>
    </row>
    <row r="33" spans="1:14">
      <c r="A33">
        <f t="shared" si="1"/>
        <v>202020</v>
      </c>
      <c r="B33">
        <v>202020</v>
      </c>
      <c r="C33">
        <v>1</v>
      </c>
      <c r="D33" t="s">
        <v>24</v>
      </c>
      <c r="E33" t="s">
        <v>48</v>
      </c>
      <c r="F33">
        <v>27170</v>
      </c>
      <c r="G33" t="s">
        <v>59</v>
      </c>
      <c r="H33">
        <v>213</v>
      </c>
      <c r="I33" t="s">
        <v>43</v>
      </c>
      <c r="J33">
        <v>3</v>
      </c>
      <c r="K33" t="s">
        <v>41</v>
      </c>
      <c r="L33" t="s">
        <v>50</v>
      </c>
      <c r="N33" t="s">
        <v>93</v>
      </c>
    </row>
    <row r="34" spans="1:14">
      <c r="A34">
        <f t="shared" si="1"/>
        <v>202120</v>
      </c>
      <c r="B34">
        <v>202120</v>
      </c>
      <c r="C34">
        <v>1</v>
      </c>
      <c r="D34" t="s">
        <v>24</v>
      </c>
      <c r="E34" t="s">
        <v>48</v>
      </c>
      <c r="F34">
        <v>20459</v>
      </c>
      <c r="G34" t="s">
        <v>59</v>
      </c>
      <c r="H34">
        <v>266</v>
      </c>
      <c r="I34" t="s">
        <v>43</v>
      </c>
      <c r="J34">
        <v>6</v>
      </c>
      <c r="K34" t="s">
        <v>73</v>
      </c>
      <c r="L34" t="s">
        <v>50</v>
      </c>
      <c r="N34" t="s">
        <v>94</v>
      </c>
    </row>
    <row r="35" spans="1:14">
      <c r="A35">
        <f t="shared" si="1"/>
        <v>202310</v>
      </c>
      <c r="B35">
        <v>202310</v>
      </c>
      <c r="C35">
        <v>1</v>
      </c>
      <c r="D35" t="s">
        <v>95</v>
      </c>
      <c r="E35" t="s">
        <v>48</v>
      </c>
      <c r="F35">
        <v>19492</v>
      </c>
      <c r="G35" t="s">
        <v>96</v>
      </c>
      <c r="H35">
        <v>320</v>
      </c>
      <c r="I35" t="s">
        <v>97</v>
      </c>
      <c r="J35">
        <v>3</v>
      </c>
      <c r="K35" t="s">
        <v>37</v>
      </c>
      <c r="L35" t="s">
        <v>50</v>
      </c>
      <c r="N35" t="s">
        <v>98</v>
      </c>
    </row>
    <row r="36" spans="1:14">
      <c r="A36">
        <f t="shared" si="1"/>
        <v>201530</v>
      </c>
      <c r="B36">
        <v>201530</v>
      </c>
      <c r="C36">
        <v>1</v>
      </c>
      <c r="D36" t="s">
        <v>99</v>
      </c>
      <c r="E36" t="s">
        <v>48</v>
      </c>
      <c r="F36">
        <v>30582</v>
      </c>
      <c r="G36" t="s">
        <v>96</v>
      </c>
      <c r="H36">
        <v>334</v>
      </c>
      <c r="I36" t="s">
        <v>100</v>
      </c>
      <c r="J36">
        <v>3</v>
      </c>
      <c r="K36" t="s">
        <v>41</v>
      </c>
      <c r="L36" t="s">
        <v>50</v>
      </c>
      <c r="N36" t="s">
        <v>101</v>
      </c>
    </row>
    <row r="37" spans="1:14">
      <c r="A37">
        <f t="shared" si="1"/>
        <v>201530</v>
      </c>
      <c r="B37">
        <v>201530</v>
      </c>
      <c r="C37">
        <v>1</v>
      </c>
      <c r="D37" t="s">
        <v>64</v>
      </c>
      <c r="E37" t="s">
        <v>48</v>
      </c>
      <c r="F37">
        <v>30046</v>
      </c>
      <c r="G37" t="s">
        <v>96</v>
      </c>
      <c r="H37">
        <v>337</v>
      </c>
      <c r="I37" t="s">
        <v>102</v>
      </c>
      <c r="J37">
        <v>3</v>
      </c>
      <c r="K37" t="s">
        <v>28</v>
      </c>
      <c r="L37" t="s">
        <v>50</v>
      </c>
      <c r="N37" t="s">
        <v>103</v>
      </c>
    </row>
    <row r="38" spans="1:14">
      <c r="A38">
        <f t="shared" si="1"/>
        <v>201610</v>
      </c>
      <c r="B38">
        <v>201610</v>
      </c>
      <c r="C38">
        <v>1</v>
      </c>
      <c r="D38" t="s">
        <v>99</v>
      </c>
      <c r="E38" t="s">
        <v>48</v>
      </c>
      <c r="F38">
        <v>11129</v>
      </c>
      <c r="G38" t="s">
        <v>96</v>
      </c>
      <c r="H38">
        <v>260</v>
      </c>
      <c r="I38" t="s">
        <v>100</v>
      </c>
      <c r="J38">
        <v>3</v>
      </c>
      <c r="K38" t="s">
        <v>57</v>
      </c>
      <c r="L38" t="s">
        <v>50</v>
      </c>
      <c r="N38" t="s">
        <v>104</v>
      </c>
    </row>
    <row r="39" spans="1:14">
      <c r="A39">
        <f t="shared" si="1"/>
        <v>201610</v>
      </c>
      <c r="B39">
        <v>201610</v>
      </c>
      <c r="C39">
        <v>1</v>
      </c>
      <c r="D39" t="s">
        <v>99</v>
      </c>
      <c r="E39" t="s">
        <v>48</v>
      </c>
      <c r="F39">
        <v>11255</v>
      </c>
      <c r="G39" t="s">
        <v>96</v>
      </c>
      <c r="H39">
        <v>275</v>
      </c>
      <c r="I39" t="s">
        <v>100</v>
      </c>
      <c r="J39">
        <v>3</v>
      </c>
      <c r="K39" t="s">
        <v>28</v>
      </c>
      <c r="L39" t="s">
        <v>50</v>
      </c>
      <c r="N39" t="s">
        <v>105</v>
      </c>
    </row>
    <row r="40" spans="1:14">
      <c r="A40">
        <f t="shared" si="1"/>
        <v>201610</v>
      </c>
      <c r="B40">
        <v>201610</v>
      </c>
      <c r="C40">
        <v>1</v>
      </c>
      <c r="D40" t="s">
        <v>99</v>
      </c>
      <c r="E40" t="s">
        <v>48</v>
      </c>
      <c r="F40">
        <v>11228</v>
      </c>
      <c r="G40" t="s">
        <v>96</v>
      </c>
      <c r="H40">
        <v>411</v>
      </c>
      <c r="I40" t="s">
        <v>100</v>
      </c>
      <c r="J40">
        <v>3</v>
      </c>
      <c r="K40" t="s">
        <v>73</v>
      </c>
      <c r="L40" t="s">
        <v>50</v>
      </c>
      <c r="N40" t="s">
        <v>106</v>
      </c>
    </row>
    <row r="41" spans="1:14">
      <c r="A41">
        <f t="shared" si="1"/>
        <v>201610</v>
      </c>
      <c r="B41">
        <v>201610</v>
      </c>
      <c r="C41">
        <v>1</v>
      </c>
      <c r="D41" t="s">
        <v>99</v>
      </c>
      <c r="E41" t="s">
        <v>48</v>
      </c>
      <c r="F41">
        <v>11271</v>
      </c>
      <c r="G41" t="s">
        <v>96</v>
      </c>
      <c r="H41">
        <v>499</v>
      </c>
      <c r="I41" t="s">
        <v>100</v>
      </c>
      <c r="J41">
        <v>4</v>
      </c>
      <c r="K41" t="s">
        <v>28</v>
      </c>
      <c r="L41" t="s">
        <v>50</v>
      </c>
      <c r="N41" t="s">
        <v>107</v>
      </c>
    </row>
    <row r="42" spans="1:14">
      <c r="A42">
        <f t="shared" si="1"/>
        <v>201620</v>
      </c>
      <c r="B42">
        <v>201620</v>
      </c>
      <c r="C42">
        <v>1</v>
      </c>
      <c r="D42" t="s">
        <v>99</v>
      </c>
      <c r="E42" t="s">
        <v>48</v>
      </c>
      <c r="F42">
        <v>21495</v>
      </c>
      <c r="G42" t="s">
        <v>96</v>
      </c>
      <c r="H42">
        <v>445</v>
      </c>
      <c r="I42" t="s">
        <v>100</v>
      </c>
      <c r="J42">
        <v>3</v>
      </c>
      <c r="K42" t="s">
        <v>73</v>
      </c>
      <c r="L42" t="s">
        <v>50</v>
      </c>
      <c r="N42" t="s">
        <v>108</v>
      </c>
    </row>
    <row r="43" spans="1:14">
      <c r="A43">
        <f t="shared" si="1"/>
        <v>201620</v>
      </c>
      <c r="B43">
        <v>201620</v>
      </c>
      <c r="C43">
        <v>1</v>
      </c>
      <c r="D43" t="s">
        <v>99</v>
      </c>
      <c r="E43" t="s">
        <v>48</v>
      </c>
      <c r="F43">
        <v>21478</v>
      </c>
      <c r="G43" t="s">
        <v>96</v>
      </c>
      <c r="H43">
        <v>447</v>
      </c>
      <c r="I43" t="s">
        <v>100</v>
      </c>
      <c r="J43">
        <v>3</v>
      </c>
      <c r="K43" t="s">
        <v>41</v>
      </c>
      <c r="L43" t="s">
        <v>50</v>
      </c>
      <c r="N43" t="s">
        <v>109</v>
      </c>
    </row>
    <row r="44" spans="1:14">
      <c r="A44">
        <f t="shared" si="1"/>
        <v>201620</v>
      </c>
      <c r="B44">
        <v>201620</v>
      </c>
      <c r="C44">
        <v>1</v>
      </c>
      <c r="D44" t="s">
        <v>99</v>
      </c>
      <c r="E44" t="s">
        <v>48</v>
      </c>
      <c r="F44">
        <v>21090</v>
      </c>
      <c r="G44" t="s">
        <v>77</v>
      </c>
      <c r="H44">
        <v>121</v>
      </c>
      <c r="I44" t="s">
        <v>100</v>
      </c>
      <c r="J44">
        <v>3</v>
      </c>
      <c r="K44" t="s">
        <v>57</v>
      </c>
      <c r="L44" t="s">
        <v>50</v>
      </c>
      <c r="N44" t="s">
        <v>79</v>
      </c>
    </row>
    <row r="45" spans="1:14">
      <c r="A45">
        <f t="shared" si="1"/>
        <v>201630</v>
      </c>
      <c r="B45">
        <v>201630</v>
      </c>
      <c r="C45">
        <v>1</v>
      </c>
      <c r="D45" t="s">
        <v>99</v>
      </c>
      <c r="E45" t="s">
        <v>48</v>
      </c>
      <c r="F45">
        <v>31172</v>
      </c>
      <c r="G45" t="s">
        <v>96</v>
      </c>
      <c r="H45">
        <v>181</v>
      </c>
      <c r="I45" t="s">
        <v>100</v>
      </c>
      <c r="J45">
        <v>2</v>
      </c>
      <c r="K45" t="s">
        <v>57</v>
      </c>
      <c r="L45" t="s">
        <v>50</v>
      </c>
      <c r="N45" t="s">
        <v>110</v>
      </c>
    </row>
    <row r="46" spans="1:14">
      <c r="A46">
        <f t="shared" si="1"/>
        <v>201710</v>
      </c>
      <c r="B46">
        <v>201710</v>
      </c>
      <c r="C46">
        <v>1</v>
      </c>
      <c r="D46" t="s">
        <v>99</v>
      </c>
      <c r="E46" t="s">
        <v>48</v>
      </c>
      <c r="F46">
        <v>13239</v>
      </c>
      <c r="G46" t="s">
        <v>96</v>
      </c>
      <c r="H46">
        <v>372</v>
      </c>
      <c r="I46" t="s">
        <v>100</v>
      </c>
      <c r="J46">
        <v>3</v>
      </c>
      <c r="K46" t="s">
        <v>57</v>
      </c>
      <c r="L46" t="s">
        <v>50</v>
      </c>
      <c r="N46" t="s">
        <v>111</v>
      </c>
    </row>
    <row r="47" spans="1:14">
      <c r="A47">
        <f t="shared" si="1"/>
        <v>201810</v>
      </c>
      <c r="B47">
        <v>201810</v>
      </c>
      <c r="C47">
        <v>1</v>
      </c>
      <c r="D47" t="s">
        <v>99</v>
      </c>
      <c r="E47" t="s">
        <v>48</v>
      </c>
      <c r="F47">
        <v>13863</v>
      </c>
      <c r="G47" t="s">
        <v>96</v>
      </c>
      <c r="H47">
        <v>373</v>
      </c>
      <c r="I47" t="s">
        <v>100</v>
      </c>
      <c r="J47">
        <v>2</v>
      </c>
      <c r="K47" t="s">
        <v>57</v>
      </c>
      <c r="L47" t="s">
        <v>50</v>
      </c>
      <c r="N47" t="s">
        <v>112</v>
      </c>
    </row>
    <row r="48" spans="1:14">
      <c r="A48">
        <f t="shared" si="1"/>
        <v>0</v>
      </c>
    </row>
    <row r="49" spans="1:1">
      <c r="A49">
        <f t="shared" si="1"/>
        <v>0</v>
      </c>
    </row>
    <row r="50" spans="1:1">
      <c r="A50">
        <f t="shared" si="1"/>
        <v>0</v>
      </c>
    </row>
    <row r="51" spans="1:1">
      <c r="A51">
        <f t="shared" si="1"/>
        <v>0</v>
      </c>
    </row>
    <row r="52" spans="1:1">
      <c r="A52">
        <f t="shared" si="1"/>
        <v>0</v>
      </c>
    </row>
    <row r="53" spans="1:1">
      <c r="A53">
        <f t="shared" si="1"/>
        <v>0</v>
      </c>
    </row>
    <row r="54" spans="1:1">
      <c r="A54">
        <f t="shared" si="1"/>
        <v>0</v>
      </c>
    </row>
    <row r="55" spans="1:1">
      <c r="A55">
        <f t="shared" si="1"/>
        <v>0</v>
      </c>
    </row>
    <row r="56" spans="1:1">
      <c r="A56">
        <f t="shared" si="1"/>
        <v>0</v>
      </c>
    </row>
    <row r="57" spans="1:1">
      <c r="A57">
        <f t="shared" si="1"/>
        <v>0</v>
      </c>
    </row>
    <row r="58" spans="1:1">
      <c r="A58">
        <f t="shared" si="1"/>
        <v>0</v>
      </c>
    </row>
    <row r="59" spans="1:1">
      <c r="A59">
        <f t="shared" si="1"/>
        <v>0</v>
      </c>
    </row>
    <row r="60" spans="1:1">
      <c r="A60">
        <f t="shared" si="1"/>
        <v>0</v>
      </c>
    </row>
    <row r="61" spans="1:1">
      <c r="A61">
        <f t="shared" si="1"/>
        <v>0</v>
      </c>
    </row>
    <row r="62" spans="1:1">
      <c r="A62">
        <f t="shared" si="1"/>
        <v>0</v>
      </c>
    </row>
    <row r="63" spans="1:1">
      <c r="A63">
        <f t="shared" si="1"/>
        <v>0</v>
      </c>
    </row>
    <row r="64" spans="1:1">
      <c r="A64">
        <f t="shared" si="1"/>
        <v>0</v>
      </c>
    </row>
    <row r="65" spans="1:1">
      <c r="A65">
        <f t="shared" si="1"/>
        <v>0</v>
      </c>
    </row>
    <row r="66" spans="1:1">
      <c r="A66">
        <f t="shared" si="1"/>
        <v>0</v>
      </c>
    </row>
    <row r="67" spans="1:1">
      <c r="A67">
        <f t="shared" si="1"/>
        <v>0</v>
      </c>
    </row>
    <row r="68" spans="1:1">
      <c r="A68">
        <f t="shared" si="1"/>
        <v>0</v>
      </c>
    </row>
    <row r="69" spans="1:1">
      <c r="A69">
        <f t="shared" si="1"/>
        <v>0</v>
      </c>
    </row>
    <row r="70" spans="1:1">
      <c r="A70">
        <f t="shared" si="1"/>
        <v>0</v>
      </c>
    </row>
    <row r="71" spans="1:1">
      <c r="A71">
        <f t="shared" si="1"/>
        <v>0</v>
      </c>
    </row>
    <row r="72" spans="1:1">
      <c r="A72">
        <f t="shared" si="1"/>
        <v>0</v>
      </c>
    </row>
    <row r="73" spans="1:1">
      <c r="A73">
        <f t="shared" si="1"/>
        <v>0</v>
      </c>
    </row>
    <row r="74" spans="1:1">
      <c r="A74">
        <f t="shared" si="1"/>
        <v>0</v>
      </c>
    </row>
    <row r="75" spans="1:1">
      <c r="A75">
        <f t="shared" si="1"/>
        <v>0</v>
      </c>
    </row>
    <row r="76" spans="1:1">
      <c r="A76">
        <f t="shared" si="1"/>
        <v>0</v>
      </c>
    </row>
    <row r="77" spans="1:1">
      <c r="A77">
        <f t="shared" si="1"/>
        <v>0</v>
      </c>
    </row>
    <row r="78" spans="1:1">
      <c r="A78">
        <f t="shared" si="1"/>
        <v>0</v>
      </c>
    </row>
    <row r="79" spans="1:1">
      <c r="A79">
        <f t="shared" si="1"/>
        <v>0</v>
      </c>
    </row>
    <row r="80" spans="1:1">
      <c r="A80">
        <f t="shared" si="1"/>
        <v>0</v>
      </c>
    </row>
    <row r="81" spans="1:1">
      <c r="A81">
        <f t="shared" si="1"/>
        <v>0</v>
      </c>
    </row>
    <row r="82" spans="1:1">
      <c r="A82">
        <f t="shared" si="1"/>
        <v>0</v>
      </c>
    </row>
    <row r="83" spans="1:1">
      <c r="A83">
        <f t="shared" si="1"/>
        <v>0</v>
      </c>
    </row>
    <row r="84" spans="1:1">
      <c r="A84">
        <f t="shared" si="1"/>
        <v>0</v>
      </c>
    </row>
    <row r="85" spans="1:1">
      <c r="A85">
        <f t="shared" si="1"/>
        <v>0</v>
      </c>
    </row>
    <row r="86" spans="1:1">
      <c r="A86">
        <f t="shared" si="1"/>
        <v>0</v>
      </c>
    </row>
    <row r="87" spans="1:1">
      <c r="A87">
        <f t="shared" si="1"/>
        <v>0</v>
      </c>
    </row>
    <row r="88" spans="1:1">
      <c r="A88">
        <f t="shared" si="1"/>
        <v>0</v>
      </c>
    </row>
    <row r="89" spans="1:1">
      <c r="A89">
        <f t="shared" si="1"/>
        <v>0</v>
      </c>
    </row>
    <row r="90" spans="1:1">
      <c r="A90">
        <f t="shared" si="1"/>
        <v>0</v>
      </c>
    </row>
    <row r="91" spans="1:1">
      <c r="A91">
        <f t="shared" si="1"/>
        <v>0</v>
      </c>
    </row>
    <row r="92" spans="1:1">
      <c r="A92">
        <f t="shared" si="1"/>
        <v>0</v>
      </c>
    </row>
    <row r="93" spans="1:1">
      <c r="A93">
        <f t="shared" si="1"/>
        <v>0</v>
      </c>
    </row>
    <row r="94" spans="1:1">
      <c r="A94">
        <f t="shared" si="1"/>
        <v>0</v>
      </c>
    </row>
    <row r="95" spans="1:1">
      <c r="A95">
        <f t="shared" si="1"/>
        <v>0</v>
      </c>
    </row>
    <row r="96" spans="1:1">
      <c r="A96">
        <f t="shared" ref="A96:A159" si="2">IF(K96="W","",B96)</f>
        <v>0</v>
      </c>
    </row>
    <row r="97" spans="1:1">
      <c r="A97">
        <f t="shared" si="2"/>
        <v>0</v>
      </c>
    </row>
    <row r="98" spans="1:1">
      <c r="A98">
        <f t="shared" si="2"/>
        <v>0</v>
      </c>
    </row>
    <row r="99" spans="1:1">
      <c r="A99">
        <f t="shared" si="2"/>
        <v>0</v>
      </c>
    </row>
    <row r="100" spans="1:1">
      <c r="A100">
        <f t="shared" si="2"/>
        <v>0</v>
      </c>
    </row>
    <row r="101" spans="1:1">
      <c r="A101">
        <f t="shared" si="2"/>
        <v>0</v>
      </c>
    </row>
    <row r="102" spans="1:1">
      <c r="A102">
        <f t="shared" si="2"/>
        <v>0</v>
      </c>
    </row>
    <row r="103" spans="1:1">
      <c r="A103">
        <f t="shared" si="2"/>
        <v>0</v>
      </c>
    </row>
    <row r="104" spans="1:1">
      <c r="A104">
        <f t="shared" si="2"/>
        <v>0</v>
      </c>
    </row>
    <row r="105" spans="1:1">
      <c r="A105">
        <f t="shared" si="2"/>
        <v>0</v>
      </c>
    </row>
    <row r="106" spans="1:1">
      <c r="A106">
        <f t="shared" si="2"/>
        <v>0</v>
      </c>
    </row>
    <row r="107" spans="1:1">
      <c r="A107">
        <f t="shared" si="2"/>
        <v>0</v>
      </c>
    </row>
    <row r="108" spans="1:1">
      <c r="A108">
        <f t="shared" si="2"/>
        <v>0</v>
      </c>
    </row>
    <row r="109" spans="1:1">
      <c r="A109">
        <f t="shared" si="2"/>
        <v>0</v>
      </c>
    </row>
    <row r="110" spans="1:1">
      <c r="A110">
        <f t="shared" si="2"/>
        <v>0</v>
      </c>
    </row>
    <row r="111" spans="1:1">
      <c r="A111">
        <f t="shared" si="2"/>
        <v>0</v>
      </c>
    </row>
    <row r="112" spans="1:1">
      <c r="A112">
        <f t="shared" si="2"/>
        <v>0</v>
      </c>
    </row>
    <row r="113" spans="1:1">
      <c r="A113">
        <f t="shared" si="2"/>
        <v>0</v>
      </c>
    </row>
    <row r="114" spans="1:1">
      <c r="A114">
        <f t="shared" si="2"/>
        <v>0</v>
      </c>
    </row>
    <row r="115" spans="1:1">
      <c r="A115">
        <f t="shared" si="2"/>
        <v>0</v>
      </c>
    </row>
    <row r="116" spans="1:1">
      <c r="A116">
        <f t="shared" si="2"/>
        <v>0</v>
      </c>
    </row>
    <row r="117" spans="1:1">
      <c r="A117">
        <f t="shared" si="2"/>
        <v>0</v>
      </c>
    </row>
    <row r="118" spans="1:1">
      <c r="A118">
        <f t="shared" si="2"/>
        <v>0</v>
      </c>
    </row>
    <row r="119" spans="1:1">
      <c r="A119">
        <f t="shared" si="2"/>
        <v>0</v>
      </c>
    </row>
    <row r="120" spans="1:1">
      <c r="A120">
        <f t="shared" si="2"/>
        <v>0</v>
      </c>
    </row>
    <row r="121" spans="1:1">
      <c r="A121">
        <f t="shared" si="2"/>
        <v>0</v>
      </c>
    </row>
    <row r="122" spans="1:1">
      <c r="A122">
        <f t="shared" si="2"/>
        <v>0</v>
      </c>
    </row>
    <row r="123" spans="1:1">
      <c r="A123">
        <f t="shared" si="2"/>
        <v>0</v>
      </c>
    </row>
    <row r="124" spans="1:1">
      <c r="A124">
        <f t="shared" si="2"/>
        <v>0</v>
      </c>
    </row>
    <row r="125" spans="1:1">
      <c r="A125">
        <f t="shared" si="2"/>
        <v>0</v>
      </c>
    </row>
    <row r="126" spans="1:1">
      <c r="A126">
        <f t="shared" si="2"/>
        <v>0</v>
      </c>
    </row>
    <row r="127" spans="1:1">
      <c r="A127">
        <f t="shared" si="2"/>
        <v>0</v>
      </c>
    </row>
    <row r="128" spans="1:1">
      <c r="A128">
        <f t="shared" si="2"/>
        <v>0</v>
      </c>
    </row>
    <row r="129" spans="1:1">
      <c r="A129">
        <f t="shared" si="2"/>
        <v>0</v>
      </c>
    </row>
    <row r="130" spans="1:1">
      <c r="A130">
        <f t="shared" si="2"/>
        <v>0</v>
      </c>
    </row>
    <row r="131" spans="1:1">
      <c r="A131">
        <f t="shared" si="2"/>
        <v>0</v>
      </c>
    </row>
    <row r="132" spans="1:1">
      <c r="A132">
        <f t="shared" si="2"/>
        <v>0</v>
      </c>
    </row>
    <row r="133" spans="1:1">
      <c r="A133">
        <f t="shared" si="2"/>
        <v>0</v>
      </c>
    </row>
    <row r="134" spans="1:1">
      <c r="A134">
        <f t="shared" si="2"/>
        <v>0</v>
      </c>
    </row>
    <row r="135" spans="1:1">
      <c r="A135">
        <f t="shared" si="2"/>
        <v>0</v>
      </c>
    </row>
    <row r="136" spans="1:1">
      <c r="A136">
        <f t="shared" si="2"/>
        <v>0</v>
      </c>
    </row>
    <row r="137" spans="1:1">
      <c r="A137">
        <f t="shared" si="2"/>
        <v>0</v>
      </c>
    </row>
    <row r="138" spans="1:1">
      <c r="A138">
        <f t="shared" si="2"/>
        <v>0</v>
      </c>
    </row>
    <row r="139" spans="1:1">
      <c r="A139">
        <f t="shared" si="2"/>
        <v>0</v>
      </c>
    </row>
    <row r="140" spans="1:1">
      <c r="A140">
        <f t="shared" si="2"/>
        <v>0</v>
      </c>
    </row>
    <row r="141" spans="1:1">
      <c r="A141">
        <f t="shared" si="2"/>
        <v>0</v>
      </c>
    </row>
    <row r="142" spans="1:1">
      <c r="A142">
        <f t="shared" si="2"/>
        <v>0</v>
      </c>
    </row>
    <row r="143" spans="1:1">
      <c r="A143">
        <f t="shared" si="2"/>
        <v>0</v>
      </c>
    </row>
    <row r="144" spans="1:1">
      <c r="A144">
        <f t="shared" si="2"/>
        <v>0</v>
      </c>
    </row>
    <row r="145" spans="1:1">
      <c r="A145">
        <f t="shared" si="2"/>
        <v>0</v>
      </c>
    </row>
    <row r="146" spans="1:1">
      <c r="A146">
        <f t="shared" si="2"/>
        <v>0</v>
      </c>
    </row>
    <row r="147" spans="1:1">
      <c r="A147">
        <f t="shared" si="2"/>
        <v>0</v>
      </c>
    </row>
    <row r="148" spans="1:1">
      <c r="A148">
        <f t="shared" si="2"/>
        <v>0</v>
      </c>
    </row>
    <row r="149" spans="1:1">
      <c r="A149">
        <f t="shared" si="2"/>
        <v>0</v>
      </c>
    </row>
    <row r="150" spans="1:1">
      <c r="A150">
        <f t="shared" si="2"/>
        <v>0</v>
      </c>
    </row>
    <row r="151" spans="1:1">
      <c r="A151">
        <f t="shared" si="2"/>
        <v>0</v>
      </c>
    </row>
    <row r="152" spans="1:1">
      <c r="A152">
        <f t="shared" si="2"/>
        <v>0</v>
      </c>
    </row>
    <row r="153" spans="1:1">
      <c r="A153">
        <f t="shared" si="2"/>
        <v>0</v>
      </c>
    </row>
    <row r="154" spans="1:1">
      <c r="A154">
        <f t="shared" si="2"/>
        <v>0</v>
      </c>
    </row>
    <row r="155" spans="1:1">
      <c r="A155">
        <f t="shared" si="2"/>
        <v>0</v>
      </c>
    </row>
    <row r="156" spans="1:1">
      <c r="A156">
        <f t="shared" si="2"/>
        <v>0</v>
      </c>
    </row>
    <row r="157" spans="1:1">
      <c r="A157">
        <f t="shared" si="2"/>
        <v>0</v>
      </c>
    </row>
    <row r="158" spans="1:1">
      <c r="A158">
        <f t="shared" si="2"/>
        <v>0</v>
      </c>
    </row>
    <row r="159" spans="1:1">
      <c r="A159">
        <f t="shared" si="2"/>
        <v>0</v>
      </c>
    </row>
    <row r="160" spans="1:1">
      <c r="A160">
        <f t="shared" ref="A160:A223" si="3">IF(K160="W","",B160)</f>
        <v>0</v>
      </c>
    </row>
    <row r="161" spans="1:1">
      <c r="A161">
        <f t="shared" si="3"/>
        <v>0</v>
      </c>
    </row>
    <row r="162" spans="1:1">
      <c r="A162">
        <f t="shared" si="3"/>
        <v>0</v>
      </c>
    </row>
    <row r="163" spans="1:1">
      <c r="A163">
        <f t="shared" si="3"/>
        <v>0</v>
      </c>
    </row>
    <row r="164" spans="1:1">
      <c r="A164">
        <f t="shared" si="3"/>
        <v>0</v>
      </c>
    </row>
    <row r="165" spans="1:1">
      <c r="A165">
        <f t="shared" si="3"/>
        <v>0</v>
      </c>
    </row>
    <row r="166" spans="1:1">
      <c r="A166">
        <f t="shared" si="3"/>
        <v>0</v>
      </c>
    </row>
    <row r="167" spans="1:1">
      <c r="A167">
        <f t="shared" si="3"/>
        <v>0</v>
      </c>
    </row>
    <row r="168" spans="1:1">
      <c r="A168">
        <f t="shared" si="3"/>
        <v>0</v>
      </c>
    </row>
    <row r="169" spans="1:1">
      <c r="A169">
        <f t="shared" si="3"/>
        <v>0</v>
      </c>
    </row>
    <row r="170" spans="1:1">
      <c r="A170">
        <f t="shared" si="3"/>
        <v>0</v>
      </c>
    </row>
    <row r="171" spans="1:1">
      <c r="A171">
        <f t="shared" si="3"/>
        <v>0</v>
      </c>
    </row>
    <row r="172" spans="1:1">
      <c r="A172">
        <f t="shared" si="3"/>
        <v>0</v>
      </c>
    </row>
    <row r="173" spans="1:1">
      <c r="A173">
        <f t="shared" si="3"/>
        <v>0</v>
      </c>
    </row>
    <row r="174" spans="1:1">
      <c r="A174">
        <f t="shared" si="3"/>
        <v>0</v>
      </c>
    </row>
    <row r="175" spans="1:1">
      <c r="A175">
        <f t="shared" si="3"/>
        <v>0</v>
      </c>
    </row>
    <row r="176" spans="1:1">
      <c r="A176">
        <f t="shared" si="3"/>
        <v>0</v>
      </c>
    </row>
    <row r="177" spans="1:1">
      <c r="A177">
        <f t="shared" si="3"/>
        <v>0</v>
      </c>
    </row>
    <row r="178" spans="1:1">
      <c r="A178">
        <f t="shared" si="3"/>
        <v>0</v>
      </c>
    </row>
    <row r="179" spans="1:1">
      <c r="A179">
        <f t="shared" si="3"/>
        <v>0</v>
      </c>
    </row>
    <row r="180" spans="1:1">
      <c r="A180">
        <f t="shared" si="3"/>
        <v>0</v>
      </c>
    </row>
    <row r="181" spans="1:1">
      <c r="A181">
        <f t="shared" si="3"/>
        <v>0</v>
      </c>
    </row>
    <row r="182" spans="1:1">
      <c r="A182">
        <f t="shared" si="3"/>
        <v>0</v>
      </c>
    </row>
    <row r="183" spans="1:1">
      <c r="A183">
        <f t="shared" si="3"/>
        <v>0</v>
      </c>
    </row>
    <row r="184" spans="1:1">
      <c r="A184">
        <f t="shared" si="3"/>
        <v>0</v>
      </c>
    </row>
    <row r="185" spans="1:1">
      <c r="A185">
        <f t="shared" si="3"/>
        <v>0</v>
      </c>
    </row>
    <row r="186" spans="1:1">
      <c r="A186">
        <f t="shared" si="3"/>
        <v>0</v>
      </c>
    </row>
    <row r="187" spans="1:1">
      <c r="A187">
        <f t="shared" si="3"/>
        <v>0</v>
      </c>
    </row>
    <row r="188" spans="1:1">
      <c r="A188">
        <f t="shared" si="3"/>
        <v>0</v>
      </c>
    </row>
    <row r="189" spans="1:1">
      <c r="A189">
        <f t="shared" si="3"/>
        <v>0</v>
      </c>
    </row>
    <row r="190" spans="1:1">
      <c r="A190">
        <f t="shared" si="3"/>
        <v>0</v>
      </c>
    </row>
    <row r="191" spans="1:1">
      <c r="A191">
        <f t="shared" si="3"/>
        <v>0</v>
      </c>
    </row>
    <row r="192" spans="1:1">
      <c r="A192">
        <f t="shared" si="3"/>
        <v>0</v>
      </c>
    </row>
    <row r="193" spans="1:1">
      <c r="A193">
        <f t="shared" si="3"/>
        <v>0</v>
      </c>
    </row>
    <row r="194" spans="1:1">
      <c r="A194">
        <f t="shared" si="3"/>
        <v>0</v>
      </c>
    </row>
    <row r="195" spans="1:1">
      <c r="A195">
        <f t="shared" si="3"/>
        <v>0</v>
      </c>
    </row>
    <row r="196" spans="1:1">
      <c r="A196">
        <f t="shared" si="3"/>
        <v>0</v>
      </c>
    </row>
    <row r="197" spans="1:1">
      <c r="A197">
        <f t="shared" si="3"/>
        <v>0</v>
      </c>
    </row>
    <row r="198" spans="1:1">
      <c r="A198">
        <f t="shared" si="3"/>
        <v>0</v>
      </c>
    </row>
    <row r="199" spans="1:1">
      <c r="A199">
        <f t="shared" si="3"/>
        <v>0</v>
      </c>
    </row>
    <row r="200" spans="1:1">
      <c r="A200">
        <f t="shared" si="3"/>
        <v>0</v>
      </c>
    </row>
    <row r="201" spans="1:1">
      <c r="A201">
        <f t="shared" si="3"/>
        <v>0</v>
      </c>
    </row>
    <row r="202" spans="1:1">
      <c r="A202">
        <f t="shared" si="3"/>
        <v>0</v>
      </c>
    </row>
    <row r="203" spans="1:1">
      <c r="A203">
        <f t="shared" si="3"/>
        <v>0</v>
      </c>
    </row>
    <row r="204" spans="1:1">
      <c r="A204">
        <f t="shared" si="3"/>
        <v>0</v>
      </c>
    </row>
    <row r="205" spans="1:1">
      <c r="A205">
        <f t="shared" si="3"/>
        <v>0</v>
      </c>
    </row>
    <row r="206" spans="1:1">
      <c r="A206">
        <f t="shared" si="3"/>
        <v>0</v>
      </c>
    </row>
    <row r="207" spans="1:1">
      <c r="A207">
        <f t="shared" si="3"/>
        <v>0</v>
      </c>
    </row>
    <row r="208" spans="1:1">
      <c r="A208">
        <f t="shared" si="3"/>
        <v>0</v>
      </c>
    </row>
    <row r="209" spans="1:1">
      <c r="A209">
        <f t="shared" si="3"/>
        <v>0</v>
      </c>
    </row>
    <row r="210" spans="1:1">
      <c r="A210">
        <f t="shared" si="3"/>
        <v>0</v>
      </c>
    </row>
    <row r="211" spans="1:1">
      <c r="A211">
        <f t="shared" si="3"/>
        <v>0</v>
      </c>
    </row>
    <row r="212" spans="1:1">
      <c r="A212">
        <f t="shared" si="3"/>
        <v>0</v>
      </c>
    </row>
    <row r="213" spans="1:1">
      <c r="A213">
        <f t="shared" si="3"/>
        <v>0</v>
      </c>
    </row>
    <row r="214" spans="1:1">
      <c r="A214">
        <f t="shared" si="3"/>
        <v>0</v>
      </c>
    </row>
    <row r="215" spans="1:1">
      <c r="A215">
        <f t="shared" si="3"/>
        <v>0</v>
      </c>
    </row>
    <row r="216" spans="1:1">
      <c r="A216">
        <f t="shared" si="3"/>
        <v>0</v>
      </c>
    </row>
    <row r="217" spans="1:1">
      <c r="A217">
        <f t="shared" si="3"/>
        <v>0</v>
      </c>
    </row>
    <row r="218" spans="1:1">
      <c r="A218">
        <f t="shared" si="3"/>
        <v>0</v>
      </c>
    </row>
    <row r="219" spans="1:1">
      <c r="A219">
        <f t="shared" si="3"/>
        <v>0</v>
      </c>
    </row>
    <row r="220" spans="1:1">
      <c r="A220">
        <f t="shared" si="3"/>
        <v>0</v>
      </c>
    </row>
    <row r="221" spans="1:1">
      <c r="A221">
        <f t="shared" si="3"/>
        <v>0</v>
      </c>
    </row>
    <row r="222" spans="1:1">
      <c r="A222">
        <f t="shared" si="3"/>
        <v>0</v>
      </c>
    </row>
    <row r="223" spans="1:1">
      <c r="A223">
        <f t="shared" si="3"/>
        <v>0</v>
      </c>
    </row>
    <row r="224" spans="1:1">
      <c r="A224">
        <f t="shared" ref="A224:A287" si="4">IF(K224="W","",B224)</f>
        <v>0</v>
      </c>
    </row>
    <row r="225" spans="1:1">
      <c r="A225">
        <f t="shared" si="4"/>
        <v>0</v>
      </c>
    </row>
    <row r="226" spans="1:1">
      <c r="A226">
        <f t="shared" si="4"/>
        <v>0</v>
      </c>
    </row>
    <row r="227" spans="1:1">
      <c r="A227">
        <f t="shared" si="4"/>
        <v>0</v>
      </c>
    </row>
    <row r="228" spans="1:1">
      <c r="A228">
        <f t="shared" si="4"/>
        <v>0</v>
      </c>
    </row>
    <row r="229" spans="1:1">
      <c r="A229">
        <f t="shared" si="4"/>
        <v>0</v>
      </c>
    </row>
    <row r="230" spans="1:1">
      <c r="A230">
        <f t="shared" si="4"/>
        <v>0</v>
      </c>
    </row>
    <row r="231" spans="1:1">
      <c r="A231">
        <f t="shared" si="4"/>
        <v>0</v>
      </c>
    </row>
    <row r="232" spans="1:1">
      <c r="A232">
        <f t="shared" si="4"/>
        <v>0</v>
      </c>
    </row>
    <row r="233" spans="1:1">
      <c r="A233">
        <f t="shared" si="4"/>
        <v>0</v>
      </c>
    </row>
    <row r="234" spans="1:1">
      <c r="A234">
        <f t="shared" si="4"/>
        <v>0</v>
      </c>
    </row>
    <row r="235" spans="1:1">
      <c r="A235">
        <f t="shared" si="4"/>
        <v>0</v>
      </c>
    </row>
    <row r="236" spans="1:1">
      <c r="A236">
        <f t="shared" si="4"/>
        <v>0</v>
      </c>
    </row>
    <row r="237" spans="1:1">
      <c r="A237">
        <f t="shared" si="4"/>
        <v>0</v>
      </c>
    </row>
    <row r="238" spans="1:1">
      <c r="A238">
        <f t="shared" si="4"/>
        <v>0</v>
      </c>
    </row>
    <row r="239" spans="1:1">
      <c r="A239">
        <f t="shared" si="4"/>
        <v>0</v>
      </c>
    </row>
    <row r="240" spans="1:1">
      <c r="A240">
        <f t="shared" si="4"/>
        <v>0</v>
      </c>
    </row>
    <row r="241" spans="1:1">
      <c r="A241">
        <f t="shared" si="4"/>
        <v>0</v>
      </c>
    </row>
    <row r="242" spans="1:1">
      <c r="A242">
        <f t="shared" si="4"/>
        <v>0</v>
      </c>
    </row>
    <row r="243" spans="1:1">
      <c r="A243">
        <f t="shared" si="4"/>
        <v>0</v>
      </c>
    </row>
    <row r="244" spans="1:1">
      <c r="A244">
        <f t="shared" si="4"/>
        <v>0</v>
      </c>
    </row>
    <row r="245" spans="1:1">
      <c r="A245">
        <f t="shared" si="4"/>
        <v>0</v>
      </c>
    </row>
    <row r="246" spans="1:1">
      <c r="A246">
        <f t="shared" si="4"/>
        <v>0</v>
      </c>
    </row>
    <row r="247" spans="1:1">
      <c r="A247">
        <f t="shared" si="4"/>
        <v>0</v>
      </c>
    </row>
    <row r="248" spans="1:1">
      <c r="A248">
        <f t="shared" si="4"/>
        <v>0</v>
      </c>
    </row>
    <row r="249" spans="1:1">
      <c r="A249">
        <f t="shared" si="4"/>
        <v>0</v>
      </c>
    </row>
    <row r="250" spans="1:1">
      <c r="A250">
        <f t="shared" si="4"/>
        <v>0</v>
      </c>
    </row>
    <row r="251" spans="1:1">
      <c r="A251">
        <f t="shared" si="4"/>
        <v>0</v>
      </c>
    </row>
    <row r="252" spans="1:1">
      <c r="A252">
        <f t="shared" si="4"/>
        <v>0</v>
      </c>
    </row>
    <row r="253" spans="1:1">
      <c r="A253">
        <f t="shared" si="4"/>
        <v>0</v>
      </c>
    </row>
    <row r="254" spans="1:1">
      <c r="A254">
        <f t="shared" si="4"/>
        <v>0</v>
      </c>
    </row>
    <row r="255" spans="1:1">
      <c r="A255">
        <f t="shared" si="4"/>
        <v>0</v>
      </c>
    </row>
    <row r="256" spans="1:1">
      <c r="A256">
        <f t="shared" si="4"/>
        <v>0</v>
      </c>
    </row>
    <row r="257" spans="1:1">
      <c r="A257">
        <f t="shared" si="4"/>
        <v>0</v>
      </c>
    </row>
    <row r="258" spans="1:1">
      <c r="A258">
        <f t="shared" si="4"/>
        <v>0</v>
      </c>
    </row>
    <row r="259" spans="1:1">
      <c r="A259">
        <f t="shared" si="4"/>
        <v>0</v>
      </c>
    </row>
    <row r="260" spans="1:1">
      <c r="A260">
        <f t="shared" si="4"/>
        <v>0</v>
      </c>
    </row>
    <row r="261" spans="1:1">
      <c r="A261">
        <f t="shared" si="4"/>
        <v>0</v>
      </c>
    </row>
    <row r="262" spans="1:1">
      <c r="A262">
        <f t="shared" si="4"/>
        <v>0</v>
      </c>
    </row>
    <row r="263" spans="1:1">
      <c r="A263">
        <f t="shared" si="4"/>
        <v>0</v>
      </c>
    </row>
    <row r="264" spans="1:1">
      <c r="A264">
        <f t="shared" si="4"/>
        <v>0</v>
      </c>
    </row>
    <row r="265" spans="1:1">
      <c r="A265">
        <f t="shared" si="4"/>
        <v>0</v>
      </c>
    </row>
    <row r="266" spans="1:1">
      <c r="A266">
        <f t="shared" si="4"/>
        <v>0</v>
      </c>
    </row>
    <row r="267" spans="1:1">
      <c r="A267">
        <f t="shared" si="4"/>
        <v>0</v>
      </c>
    </row>
    <row r="268" spans="1:1">
      <c r="A268">
        <f t="shared" si="4"/>
        <v>0</v>
      </c>
    </row>
    <row r="269" spans="1:1">
      <c r="A269">
        <f t="shared" si="4"/>
        <v>0</v>
      </c>
    </row>
    <row r="270" spans="1:1">
      <c r="A270">
        <f t="shared" si="4"/>
        <v>0</v>
      </c>
    </row>
    <row r="271" spans="1:1">
      <c r="A271">
        <f t="shared" si="4"/>
        <v>0</v>
      </c>
    </row>
    <row r="272" spans="1:1">
      <c r="A272">
        <f t="shared" si="4"/>
        <v>0</v>
      </c>
    </row>
    <row r="273" spans="1:1">
      <c r="A273">
        <f t="shared" si="4"/>
        <v>0</v>
      </c>
    </row>
    <row r="274" spans="1:1">
      <c r="A274">
        <f t="shared" si="4"/>
        <v>0</v>
      </c>
    </row>
    <row r="275" spans="1:1">
      <c r="A275">
        <f t="shared" si="4"/>
        <v>0</v>
      </c>
    </row>
    <row r="276" spans="1:1">
      <c r="A276">
        <f t="shared" si="4"/>
        <v>0</v>
      </c>
    </row>
    <row r="277" spans="1:1">
      <c r="A277">
        <f t="shared" si="4"/>
        <v>0</v>
      </c>
    </row>
    <row r="278" spans="1:1">
      <c r="A278">
        <f t="shared" si="4"/>
        <v>0</v>
      </c>
    </row>
    <row r="279" spans="1:1">
      <c r="A279">
        <f t="shared" si="4"/>
        <v>0</v>
      </c>
    </row>
    <row r="280" spans="1:1">
      <c r="A280">
        <f t="shared" si="4"/>
        <v>0</v>
      </c>
    </row>
    <row r="281" spans="1:1">
      <c r="A281">
        <f t="shared" si="4"/>
        <v>0</v>
      </c>
    </row>
    <row r="282" spans="1:1">
      <c r="A282">
        <f t="shared" si="4"/>
        <v>0</v>
      </c>
    </row>
    <row r="283" spans="1:1">
      <c r="A283">
        <f t="shared" si="4"/>
        <v>0</v>
      </c>
    </row>
    <row r="284" spans="1:1">
      <c r="A284">
        <f t="shared" si="4"/>
        <v>0</v>
      </c>
    </row>
    <row r="285" spans="1:1">
      <c r="A285">
        <f t="shared" si="4"/>
        <v>0</v>
      </c>
    </row>
    <row r="286" spans="1:1">
      <c r="A286">
        <f t="shared" si="4"/>
        <v>0</v>
      </c>
    </row>
    <row r="287" spans="1:1">
      <c r="A287">
        <f t="shared" si="4"/>
        <v>0</v>
      </c>
    </row>
    <row r="288" spans="1:1">
      <c r="A288">
        <f t="shared" ref="A288:A351" si="5">IF(K288="W","",B288)</f>
        <v>0</v>
      </c>
    </row>
    <row r="289" spans="1:1">
      <c r="A289">
        <f t="shared" si="5"/>
        <v>0</v>
      </c>
    </row>
    <row r="290" spans="1:1">
      <c r="A290">
        <f t="shared" si="5"/>
        <v>0</v>
      </c>
    </row>
    <row r="291" spans="1:1">
      <c r="A291">
        <f t="shared" si="5"/>
        <v>0</v>
      </c>
    </row>
    <row r="292" spans="1:1">
      <c r="A292">
        <f t="shared" si="5"/>
        <v>0</v>
      </c>
    </row>
    <row r="293" spans="1:1">
      <c r="A293">
        <f t="shared" si="5"/>
        <v>0</v>
      </c>
    </row>
    <row r="294" spans="1:1">
      <c r="A294">
        <f t="shared" si="5"/>
        <v>0</v>
      </c>
    </row>
    <row r="295" spans="1:1">
      <c r="A295">
        <f t="shared" si="5"/>
        <v>0</v>
      </c>
    </row>
    <row r="296" spans="1:1">
      <c r="A296">
        <f t="shared" si="5"/>
        <v>0</v>
      </c>
    </row>
    <row r="297" spans="1:1">
      <c r="A297">
        <f t="shared" si="5"/>
        <v>0</v>
      </c>
    </row>
    <row r="298" spans="1:1">
      <c r="A298">
        <f t="shared" si="5"/>
        <v>0</v>
      </c>
    </row>
    <row r="299" spans="1:1">
      <c r="A299">
        <f t="shared" si="5"/>
        <v>0</v>
      </c>
    </row>
    <row r="300" spans="1:1">
      <c r="A300">
        <f t="shared" si="5"/>
        <v>0</v>
      </c>
    </row>
    <row r="301" spans="1:1">
      <c r="A301">
        <f t="shared" si="5"/>
        <v>0</v>
      </c>
    </row>
    <row r="302" spans="1:1">
      <c r="A302">
        <f t="shared" si="5"/>
        <v>0</v>
      </c>
    </row>
    <row r="303" spans="1:1">
      <c r="A303">
        <f t="shared" si="5"/>
        <v>0</v>
      </c>
    </row>
    <row r="304" spans="1:1">
      <c r="A304">
        <f t="shared" si="5"/>
        <v>0</v>
      </c>
    </row>
    <row r="305" spans="1:1">
      <c r="A305">
        <f t="shared" si="5"/>
        <v>0</v>
      </c>
    </row>
    <row r="306" spans="1:1">
      <c r="A306">
        <f t="shared" si="5"/>
        <v>0</v>
      </c>
    </row>
    <row r="307" spans="1:1">
      <c r="A307">
        <f t="shared" si="5"/>
        <v>0</v>
      </c>
    </row>
    <row r="308" spans="1:1">
      <c r="A308">
        <f t="shared" si="5"/>
        <v>0</v>
      </c>
    </row>
    <row r="309" spans="1:1">
      <c r="A309">
        <f t="shared" si="5"/>
        <v>0</v>
      </c>
    </row>
    <row r="310" spans="1:1">
      <c r="A310">
        <f t="shared" si="5"/>
        <v>0</v>
      </c>
    </row>
    <row r="311" spans="1:1">
      <c r="A311">
        <f t="shared" si="5"/>
        <v>0</v>
      </c>
    </row>
    <row r="312" spans="1:1">
      <c r="A312">
        <f t="shared" si="5"/>
        <v>0</v>
      </c>
    </row>
    <row r="313" spans="1:1">
      <c r="A313">
        <f t="shared" si="5"/>
        <v>0</v>
      </c>
    </row>
    <row r="314" spans="1:1">
      <c r="A314">
        <f t="shared" si="5"/>
        <v>0</v>
      </c>
    </row>
    <row r="315" spans="1:1">
      <c r="A315">
        <f t="shared" si="5"/>
        <v>0</v>
      </c>
    </row>
    <row r="316" spans="1:1">
      <c r="A316">
        <f t="shared" si="5"/>
        <v>0</v>
      </c>
    </row>
    <row r="317" spans="1:1">
      <c r="A317">
        <f t="shared" si="5"/>
        <v>0</v>
      </c>
    </row>
    <row r="318" spans="1:1">
      <c r="A318">
        <f t="shared" si="5"/>
        <v>0</v>
      </c>
    </row>
    <row r="319" spans="1:1">
      <c r="A319">
        <f t="shared" si="5"/>
        <v>0</v>
      </c>
    </row>
    <row r="320" spans="1:1">
      <c r="A320">
        <f t="shared" si="5"/>
        <v>0</v>
      </c>
    </row>
    <row r="321" spans="1:1">
      <c r="A321">
        <f t="shared" si="5"/>
        <v>0</v>
      </c>
    </row>
    <row r="322" spans="1:1">
      <c r="A322">
        <f t="shared" si="5"/>
        <v>0</v>
      </c>
    </row>
    <row r="323" spans="1:1">
      <c r="A323">
        <f t="shared" si="5"/>
        <v>0</v>
      </c>
    </row>
    <row r="324" spans="1:1">
      <c r="A324">
        <f t="shared" si="5"/>
        <v>0</v>
      </c>
    </row>
    <row r="325" spans="1:1">
      <c r="A325">
        <f t="shared" si="5"/>
        <v>0</v>
      </c>
    </row>
    <row r="326" spans="1:1">
      <c r="A326">
        <f t="shared" si="5"/>
        <v>0</v>
      </c>
    </row>
    <row r="327" spans="1:1">
      <c r="A327">
        <f t="shared" si="5"/>
        <v>0</v>
      </c>
    </row>
    <row r="328" spans="1:1">
      <c r="A328">
        <f t="shared" si="5"/>
        <v>0</v>
      </c>
    </row>
    <row r="329" spans="1:1">
      <c r="A329">
        <f t="shared" si="5"/>
        <v>0</v>
      </c>
    </row>
    <row r="330" spans="1:1">
      <c r="A330">
        <f t="shared" si="5"/>
        <v>0</v>
      </c>
    </row>
    <row r="331" spans="1:1">
      <c r="A331">
        <f t="shared" si="5"/>
        <v>0</v>
      </c>
    </row>
    <row r="332" spans="1:1">
      <c r="A332">
        <f t="shared" si="5"/>
        <v>0</v>
      </c>
    </row>
    <row r="333" spans="1:1">
      <c r="A333">
        <f t="shared" si="5"/>
        <v>0</v>
      </c>
    </row>
    <row r="334" spans="1:1">
      <c r="A334">
        <f t="shared" si="5"/>
        <v>0</v>
      </c>
    </row>
    <row r="335" spans="1:1">
      <c r="A335">
        <f t="shared" si="5"/>
        <v>0</v>
      </c>
    </row>
    <row r="336" spans="1:1">
      <c r="A336">
        <f t="shared" si="5"/>
        <v>0</v>
      </c>
    </row>
    <row r="337" spans="1:1">
      <c r="A337">
        <f t="shared" si="5"/>
        <v>0</v>
      </c>
    </row>
    <row r="338" spans="1:1">
      <c r="A338">
        <f t="shared" si="5"/>
        <v>0</v>
      </c>
    </row>
    <row r="339" spans="1:1">
      <c r="A339">
        <f t="shared" si="5"/>
        <v>0</v>
      </c>
    </row>
    <row r="340" spans="1:1">
      <c r="A340">
        <f t="shared" si="5"/>
        <v>0</v>
      </c>
    </row>
    <row r="341" spans="1:1">
      <c r="A341">
        <f t="shared" si="5"/>
        <v>0</v>
      </c>
    </row>
    <row r="342" spans="1:1">
      <c r="A342">
        <f t="shared" si="5"/>
        <v>0</v>
      </c>
    </row>
    <row r="343" spans="1:1">
      <c r="A343">
        <f t="shared" si="5"/>
        <v>0</v>
      </c>
    </row>
    <row r="344" spans="1:1">
      <c r="A344">
        <f t="shared" si="5"/>
        <v>0</v>
      </c>
    </row>
    <row r="345" spans="1:1">
      <c r="A345">
        <f t="shared" si="5"/>
        <v>0</v>
      </c>
    </row>
    <row r="346" spans="1:1">
      <c r="A346">
        <f t="shared" si="5"/>
        <v>0</v>
      </c>
    </row>
    <row r="347" spans="1:1">
      <c r="A347">
        <f t="shared" si="5"/>
        <v>0</v>
      </c>
    </row>
    <row r="348" spans="1:1">
      <c r="A348">
        <f t="shared" si="5"/>
        <v>0</v>
      </c>
    </row>
    <row r="349" spans="1:1">
      <c r="A349">
        <f t="shared" si="5"/>
        <v>0</v>
      </c>
    </row>
    <row r="350" spans="1:1">
      <c r="A350">
        <f t="shared" si="5"/>
        <v>0</v>
      </c>
    </row>
    <row r="351" spans="1:1">
      <c r="A351">
        <f t="shared" si="5"/>
        <v>0</v>
      </c>
    </row>
    <row r="352" spans="1:1">
      <c r="A352">
        <f t="shared" ref="A352:A415" si="6">IF(K352="W","",B352)</f>
        <v>0</v>
      </c>
    </row>
    <row r="353" spans="1:1">
      <c r="A353">
        <f t="shared" si="6"/>
        <v>0</v>
      </c>
    </row>
    <row r="354" spans="1:1">
      <c r="A354">
        <f t="shared" si="6"/>
        <v>0</v>
      </c>
    </row>
    <row r="355" spans="1:1">
      <c r="A355">
        <f t="shared" si="6"/>
        <v>0</v>
      </c>
    </row>
    <row r="356" spans="1:1">
      <c r="A356">
        <f t="shared" si="6"/>
        <v>0</v>
      </c>
    </row>
    <row r="357" spans="1:1">
      <c r="A357">
        <f t="shared" si="6"/>
        <v>0</v>
      </c>
    </row>
    <row r="358" spans="1:1">
      <c r="A358">
        <f t="shared" si="6"/>
        <v>0</v>
      </c>
    </row>
    <row r="359" spans="1:1">
      <c r="A359">
        <f t="shared" si="6"/>
        <v>0</v>
      </c>
    </row>
    <row r="360" spans="1:1">
      <c r="A360">
        <f t="shared" si="6"/>
        <v>0</v>
      </c>
    </row>
    <row r="361" spans="1:1">
      <c r="A361">
        <f t="shared" si="6"/>
        <v>0</v>
      </c>
    </row>
    <row r="362" spans="1:1">
      <c r="A362">
        <f t="shared" si="6"/>
        <v>0</v>
      </c>
    </row>
    <row r="363" spans="1:1">
      <c r="A363">
        <f t="shared" si="6"/>
        <v>0</v>
      </c>
    </row>
    <row r="364" spans="1:1">
      <c r="A364">
        <f t="shared" si="6"/>
        <v>0</v>
      </c>
    </row>
    <row r="365" spans="1:1">
      <c r="A365">
        <f t="shared" si="6"/>
        <v>0</v>
      </c>
    </row>
    <row r="366" spans="1:1">
      <c r="A366">
        <f t="shared" si="6"/>
        <v>0</v>
      </c>
    </row>
    <row r="367" spans="1:1">
      <c r="A367">
        <f t="shared" si="6"/>
        <v>0</v>
      </c>
    </row>
    <row r="368" spans="1:1">
      <c r="A368">
        <f t="shared" si="6"/>
        <v>0</v>
      </c>
    </row>
    <row r="369" spans="1:1">
      <c r="A369">
        <f t="shared" si="6"/>
        <v>0</v>
      </c>
    </row>
    <row r="370" spans="1:1">
      <c r="A370">
        <f t="shared" si="6"/>
        <v>0</v>
      </c>
    </row>
    <row r="371" spans="1:1">
      <c r="A371">
        <f t="shared" si="6"/>
        <v>0</v>
      </c>
    </row>
    <row r="372" spans="1:1">
      <c r="A372">
        <f t="shared" si="6"/>
        <v>0</v>
      </c>
    </row>
    <row r="373" spans="1:1">
      <c r="A373">
        <f t="shared" si="6"/>
        <v>0</v>
      </c>
    </row>
    <row r="374" spans="1:1">
      <c r="A374">
        <f t="shared" si="6"/>
        <v>0</v>
      </c>
    </row>
    <row r="375" spans="1:1">
      <c r="A375">
        <f t="shared" si="6"/>
        <v>0</v>
      </c>
    </row>
    <row r="376" spans="1:1">
      <c r="A376">
        <f t="shared" si="6"/>
        <v>0</v>
      </c>
    </row>
    <row r="377" spans="1:1">
      <c r="A377">
        <f t="shared" si="6"/>
        <v>0</v>
      </c>
    </row>
    <row r="378" spans="1:1">
      <c r="A378">
        <f t="shared" si="6"/>
        <v>0</v>
      </c>
    </row>
    <row r="379" spans="1:1">
      <c r="A379">
        <f t="shared" si="6"/>
        <v>0</v>
      </c>
    </row>
    <row r="380" spans="1:1">
      <c r="A380">
        <f t="shared" si="6"/>
        <v>0</v>
      </c>
    </row>
    <row r="381" spans="1:1">
      <c r="A381">
        <f t="shared" si="6"/>
        <v>0</v>
      </c>
    </row>
    <row r="382" spans="1:1">
      <c r="A382">
        <f t="shared" si="6"/>
        <v>0</v>
      </c>
    </row>
    <row r="383" spans="1:1">
      <c r="A383">
        <f t="shared" si="6"/>
        <v>0</v>
      </c>
    </row>
    <row r="384" spans="1:1">
      <c r="A384">
        <f t="shared" si="6"/>
        <v>0</v>
      </c>
    </row>
    <row r="385" spans="1:1">
      <c r="A385">
        <f t="shared" si="6"/>
        <v>0</v>
      </c>
    </row>
    <row r="386" spans="1:1">
      <c r="A386">
        <f t="shared" si="6"/>
        <v>0</v>
      </c>
    </row>
    <row r="387" spans="1:1">
      <c r="A387">
        <f t="shared" si="6"/>
        <v>0</v>
      </c>
    </row>
    <row r="388" spans="1:1">
      <c r="A388">
        <f t="shared" si="6"/>
        <v>0</v>
      </c>
    </row>
    <row r="389" spans="1:1">
      <c r="A389">
        <f t="shared" si="6"/>
        <v>0</v>
      </c>
    </row>
    <row r="390" spans="1:1">
      <c r="A390">
        <f t="shared" si="6"/>
        <v>0</v>
      </c>
    </row>
    <row r="391" spans="1:1">
      <c r="A391">
        <f t="shared" si="6"/>
        <v>0</v>
      </c>
    </row>
    <row r="392" spans="1:1">
      <c r="A392">
        <f t="shared" si="6"/>
        <v>0</v>
      </c>
    </row>
    <row r="393" spans="1:1">
      <c r="A393">
        <f t="shared" si="6"/>
        <v>0</v>
      </c>
    </row>
    <row r="394" spans="1:1">
      <c r="A394">
        <f t="shared" si="6"/>
        <v>0</v>
      </c>
    </row>
    <row r="395" spans="1:1">
      <c r="A395">
        <f t="shared" si="6"/>
        <v>0</v>
      </c>
    </row>
    <row r="396" spans="1:1">
      <c r="A396">
        <f t="shared" si="6"/>
        <v>0</v>
      </c>
    </row>
    <row r="397" spans="1:1">
      <c r="A397">
        <f t="shared" si="6"/>
        <v>0</v>
      </c>
    </row>
    <row r="398" spans="1:1">
      <c r="A398">
        <f t="shared" si="6"/>
        <v>0</v>
      </c>
    </row>
    <row r="399" spans="1:1">
      <c r="A399">
        <f t="shared" si="6"/>
        <v>0</v>
      </c>
    </row>
    <row r="400" spans="1:1">
      <c r="A400">
        <f t="shared" si="6"/>
        <v>0</v>
      </c>
    </row>
    <row r="401" spans="1:1">
      <c r="A401">
        <f t="shared" si="6"/>
        <v>0</v>
      </c>
    </row>
    <row r="402" spans="1:1">
      <c r="A402">
        <f t="shared" si="6"/>
        <v>0</v>
      </c>
    </row>
    <row r="403" spans="1:1">
      <c r="A403">
        <f t="shared" si="6"/>
        <v>0</v>
      </c>
    </row>
    <row r="404" spans="1:1">
      <c r="A404">
        <f t="shared" si="6"/>
        <v>0</v>
      </c>
    </row>
    <row r="405" spans="1:1">
      <c r="A405">
        <f t="shared" si="6"/>
        <v>0</v>
      </c>
    </row>
    <row r="406" spans="1:1">
      <c r="A406">
        <f t="shared" si="6"/>
        <v>0</v>
      </c>
    </row>
    <row r="407" spans="1:1">
      <c r="A407">
        <f t="shared" si="6"/>
        <v>0</v>
      </c>
    </row>
    <row r="408" spans="1:1">
      <c r="A408">
        <f t="shared" si="6"/>
        <v>0</v>
      </c>
    </row>
    <row r="409" spans="1:1">
      <c r="A409">
        <f t="shared" si="6"/>
        <v>0</v>
      </c>
    </row>
    <row r="410" spans="1:1">
      <c r="A410">
        <f t="shared" si="6"/>
        <v>0</v>
      </c>
    </row>
    <row r="411" spans="1:1">
      <c r="A411">
        <f t="shared" si="6"/>
        <v>0</v>
      </c>
    </row>
    <row r="412" spans="1:1">
      <c r="A412">
        <f t="shared" si="6"/>
        <v>0</v>
      </c>
    </row>
    <row r="413" spans="1:1">
      <c r="A413">
        <f t="shared" si="6"/>
        <v>0</v>
      </c>
    </row>
    <row r="414" spans="1:1">
      <c r="A414">
        <f t="shared" si="6"/>
        <v>0</v>
      </c>
    </row>
    <row r="415" spans="1:1">
      <c r="A415">
        <f t="shared" si="6"/>
        <v>0</v>
      </c>
    </row>
    <row r="416" spans="1:1">
      <c r="A416">
        <f t="shared" ref="A416:A479" si="7">IF(K416="W","",B416)</f>
        <v>0</v>
      </c>
    </row>
    <row r="417" spans="1:1">
      <c r="A417">
        <f t="shared" si="7"/>
        <v>0</v>
      </c>
    </row>
    <row r="418" spans="1:1">
      <c r="A418">
        <f t="shared" si="7"/>
        <v>0</v>
      </c>
    </row>
    <row r="419" spans="1:1">
      <c r="A419">
        <f t="shared" si="7"/>
        <v>0</v>
      </c>
    </row>
    <row r="420" spans="1:1">
      <c r="A420">
        <f t="shared" si="7"/>
        <v>0</v>
      </c>
    </row>
    <row r="421" spans="1:1">
      <c r="A421">
        <f t="shared" si="7"/>
        <v>0</v>
      </c>
    </row>
    <row r="422" spans="1:1">
      <c r="A422">
        <f t="shared" si="7"/>
        <v>0</v>
      </c>
    </row>
    <row r="423" spans="1:1">
      <c r="A423">
        <f t="shared" si="7"/>
        <v>0</v>
      </c>
    </row>
    <row r="424" spans="1:1">
      <c r="A424">
        <f t="shared" si="7"/>
        <v>0</v>
      </c>
    </row>
    <row r="425" spans="1:1">
      <c r="A425">
        <f t="shared" si="7"/>
        <v>0</v>
      </c>
    </row>
    <row r="426" spans="1:1">
      <c r="A426">
        <f t="shared" si="7"/>
        <v>0</v>
      </c>
    </row>
    <row r="427" spans="1:1">
      <c r="A427">
        <f t="shared" si="7"/>
        <v>0</v>
      </c>
    </row>
    <row r="428" spans="1:1">
      <c r="A428">
        <f t="shared" si="7"/>
        <v>0</v>
      </c>
    </row>
    <row r="429" spans="1:1">
      <c r="A429">
        <f t="shared" si="7"/>
        <v>0</v>
      </c>
    </row>
    <row r="430" spans="1:1">
      <c r="A430">
        <f t="shared" si="7"/>
        <v>0</v>
      </c>
    </row>
    <row r="431" spans="1:1">
      <c r="A431">
        <f t="shared" si="7"/>
        <v>0</v>
      </c>
    </row>
    <row r="432" spans="1:1">
      <c r="A432">
        <f t="shared" si="7"/>
        <v>0</v>
      </c>
    </row>
    <row r="433" spans="1:1">
      <c r="A433">
        <f t="shared" si="7"/>
        <v>0</v>
      </c>
    </row>
    <row r="434" spans="1:1">
      <c r="A434">
        <f t="shared" si="7"/>
        <v>0</v>
      </c>
    </row>
    <row r="435" spans="1:1">
      <c r="A435">
        <f t="shared" si="7"/>
        <v>0</v>
      </c>
    </row>
    <row r="436" spans="1:1">
      <c r="A436">
        <f t="shared" si="7"/>
        <v>0</v>
      </c>
    </row>
    <row r="437" spans="1:1">
      <c r="A437">
        <f t="shared" si="7"/>
        <v>0</v>
      </c>
    </row>
    <row r="438" spans="1:1">
      <c r="A438">
        <f t="shared" si="7"/>
        <v>0</v>
      </c>
    </row>
    <row r="439" spans="1:1">
      <c r="A439">
        <f t="shared" si="7"/>
        <v>0</v>
      </c>
    </row>
    <row r="440" spans="1:1">
      <c r="A440">
        <f t="shared" si="7"/>
        <v>0</v>
      </c>
    </row>
    <row r="441" spans="1:1">
      <c r="A441">
        <f t="shared" si="7"/>
        <v>0</v>
      </c>
    </row>
    <row r="442" spans="1:1">
      <c r="A442">
        <f t="shared" si="7"/>
        <v>0</v>
      </c>
    </row>
    <row r="443" spans="1:1">
      <c r="A443">
        <f t="shared" si="7"/>
        <v>0</v>
      </c>
    </row>
    <row r="444" spans="1:1">
      <c r="A444">
        <f t="shared" si="7"/>
        <v>0</v>
      </c>
    </row>
    <row r="445" spans="1:1">
      <c r="A445">
        <f t="shared" si="7"/>
        <v>0</v>
      </c>
    </row>
    <row r="446" spans="1:1">
      <c r="A446">
        <f t="shared" si="7"/>
        <v>0</v>
      </c>
    </row>
    <row r="447" spans="1:1">
      <c r="A447">
        <f t="shared" si="7"/>
        <v>0</v>
      </c>
    </row>
    <row r="448" spans="1:1">
      <c r="A448">
        <f t="shared" si="7"/>
        <v>0</v>
      </c>
    </row>
    <row r="449" spans="1:1">
      <c r="A449">
        <f t="shared" si="7"/>
        <v>0</v>
      </c>
    </row>
    <row r="450" spans="1:1">
      <c r="A450">
        <f t="shared" si="7"/>
        <v>0</v>
      </c>
    </row>
    <row r="451" spans="1:1">
      <c r="A451">
        <f t="shared" si="7"/>
        <v>0</v>
      </c>
    </row>
    <row r="452" spans="1:1">
      <c r="A452">
        <f t="shared" si="7"/>
        <v>0</v>
      </c>
    </row>
    <row r="453" spans="1:1">
      <c r="A453">
        <f t="shared" si="7"/>
        <v>0</v>
      </c>
    </row>
    <row r="454" spans="1:1">
      <c r="A454">
        <f t="shared" si="7"/>
        <v>0</v>
      </c>
    </row>
    <row r="455" spans="1:1">
      <c r="A455">
        <f t="shared" si="7"/>
        <v>0</v>
      </c>
    </row>
    <row r="456" spans="1:1">
      <c r="A456">
        <f t="shared" si="7"/>
        <v>0</v>
      </c>
    </row>
    <row r="457" spans="1:1">
      <c r="A457">
        <f t="shared" si="7"/>
        <v>0</v>
      </c>
    </row>
    <row r="458" spans="1:1">
      <c r="A458">
        <f t="shared" si="7"/>
        <v>0</v>
      </c>
    </row>
    <row r="459" spans="1:1">
      <c r="A459">
        <f t="shared" si="7"/>
        <v>0</v>
      </c>
    </row>
    <row r="460" spans="1:1">
      <c r="A460">
        <f t="shared" si="7"/>
        <v>0</v>
      </c>
    </row>
    <row r="461" spans="1:1">
      <c r="A461">
        <f t="shared" si="7"/>
        <v>0</v>
      </c>
    </row>
    <row r="462" spans="1:1">
      <c r="A462">
        <f t="shared" si="7"/>
        <v>0</v>
      </c>
    </row>
    <row r="463" spans="1:1">
      <c r="A463">
        <f t="shared" si="7"/>
        <v>0</v>
      </c>
    </row>
    <row r="464" spans="1:1">
      <c r="A464">
        <f t="shared" si="7"/>
        <v>0</v>
      </c>
    </row>
    <row r="465" spans="1:1">
      <c r="A465">
        <f t="shared" si="7"/>
        <v>0</v>
      </c>
    </row>
    <row r="466" spans="1:1">
      <c r="A466">
        <f t="shared" si="7"/>
        <v>0</v>
      </c>
    </row>
    <row r="467" spans="1:1">
      <c r="A467">
        <f t="shared" si="7"/>
        <v>0</v>
      </c>
    </row>
    <row r="468" spans="1:1">
      <c r="A468">
        <f t="shared" si="7"/>
        <v>0</v>
      </c>
    </row>
    <row r="469" spans="1:1">
      <c r="A469">
        <f t="shared" si="7"/>
        <v>0</v>
      </c>
    </row>
    <row r="470" spans="1:1">
      <c r="A470">
        <f t="shared" si="7"/>
        <v>0</v>
      </c>
    </row>
    <row r="471" spans="1:1">
      <c r="A471">
        <f t="shared" si="7"/>
        <v>0</v>
      </c>
    </row>
    <row r="472" spans="1:1">
      <c r="A472">
        <f t="shared" si="7"/>
        <v>0</v>
      </c>
    </row>
    <row r="473" spans="1:1">
      <c r="A473">
        <f t="shared" si="7"/>
        <v>0</v>
      </c>
    </row>
    <row r="474" spans="1:1">
      <c r="A474">
        <f t="shared" si="7"/>
        <v>0</v>
      </c>
    </row>
    <row r="475" spans="1:1">
      <c r="A475">
        <f t="shared" si="7"/>
        <v>0</v>
      </c>
    </row>
    <row r="476" spans="1:1">
      <c r="A476">
        <f t="shared" si="7"/>
        <v>0</v>
      </c>
    </row>
    <row r="477" spans="1:1">
      <c r="A477">
        <f t="shared" si="7"/>
        <v>0</v>
      </c>
    </row>
    <row r="478" spans="1:1">
      <c r="A478">
        <f t="shared" si="7"/>
        <v>0</v>
      </c>
    </row>
    <row r="479" spans="1:1">
      <c r="A479">
        <f t="shared" si="7"/>
        <v>0</v>
      </c>
    </row>
    <row r="480" spans="1:1">
      <c r="A480">
        <f t="shared" ref="A480:A543" si="8">IF(K480="W","",B480)</f>
        <v>0</v>
      </c>
    </row>
    <row r="481" spans="1:1">
      <c r="A481">
        <f t="shared" si="8"/>
        <v>0</v>
      </c>
    </row>
    <row r="482" spans="1:1">
      <c r="A482">
        <f t="shared" si="8"/>
        <v>0</v>
      </c>
    </row>
    <row r="483" spans="1:1">
      <c r="A483">
        <f t="shared" si="8"/>
        <v>0</v>
      </c>
    </row>
    <row r="484" spans="1:1">
      <c r="A484">
        <f t="shared" si="8"/>
        <v>0</v>
      </c>
    </row>
    <row r="485" spans="1:1">
      <c r="A485">
        <f t="shared" si="8"/>
        <v>0</v>
      </c>
    </row>
    <row r="486" spans="1:1">
      <c r="A486">
        <f t="shared" si="8"/>
        <v>0</v>
      </c>
    </row>
    <row r="487" spans="1:1">
      <c r="A487">
        <f t="shared" si="8"/>
        <v>0</v>
      </c>
    </row>
    <row r="488" spans="1:1">
      <c r="A488">
        <f t="shared" si="8"/>
        <v>0</v>
      </c>
    </row>
    <row r="489" spans="1:1">
      <c r="A489">
        <f t="shared" si="8"/>
        <v>0</v>
      </c>
    </row>
    <row r="490" spans="1:1">
      <c r="A490">
        <f t="shared" si="8"/>
        <v>0</v>
      </c>
    </row>
    <row r="491" spans="1:1">
      <c r="A491">
        <f t="shared" si="8"/>
        <v>0</v>
      </c>
    </row>
    <row r="492" spans="1:1">
      <c r="A492">
        <f t="shared" si="8"/>
        <v>0</v>
      </c>
    </row>
    <row r="493" spans="1:1">
      <c r="A493">
        <f t="shared" si="8"/>
        <v>0</v>
      </c>
    </row>
    <row r="494" spans="1:1">
      <c r="A494">
        <f t="shared" si="8"/>
        <v>0</v>
      </c>
    </row>
    <row r="495" spans="1:1">
      <c r="A495">
        <f t="shared" si="8"/>
        <v>0</v>
      </c>
    </row>
    <row r="496" spans="1:1">
      <c r="A496">
        <f t="shared" si="8"/>
        <v>0</v>
      </c>
    </row>
    <row r="497" spans="1:1">
      <c r="A497">
        <f t="shared" si="8"/>
        <v>0</v>
      </c>
    </row>
    <row r="498" spans="1:1">
      <c r="A498">
        <f t="shared" si="8"/>
        <v>0</v>
      </c>
    </row>
    <row r="499" spans="1:1">
      <c r="A499">
        <f t="shared" si="8"/>
        <v>0</v>
      </c>
    </row>
    <row r="500" spans="1:1">
      <c r="A500">
        <f t="shared" si="8"/>
        <v>0</v>
      </c>
    </row>
    <row r="501" spans="1:1">
      <c r="A501">
        <f t="shared" si="8"/>
        <v>0</v>
      </c>
    </row>
    <row r="502" spans="1:1">
      <c r="A502">
        <f t="shared" si="8"/>
        <v>0</v>
      </c>
    </row>
    <row r="503" spans="1:1">
      <c r="A503">
        <f t="shared" si="8"/>
        <v>0</v>
      </c>
    </row>
    <row r="504" spans="1:1">
      <c r="A504">
        <f t="shared" si="8"/>
        <v>0</v>
      </c>
    </row>
    <row r="505" spans="1:1">
      <c r="A505">
        <f t="shared" si="8"/>
        <v>0</v>
      </c>
    </row>
    <row r="506" spans="1:1">
      <c r="A506">
        <f t="shared" si="8"/>
        <v>0</v>
      </c>
    </row>
    <row r="507" spans="1:1">
      <c r="A507">
        <f t="shared" si="8"/>
        <v>0</v>
      </c>
    </row>
    <row r="508" spans="1:1">
      <c r="A508">
        <f t="shared" si="8"/>
        <v>0</v>
      </c>
    </row>
    <row r="509" spans="1:1">
      <c r="A509">
        <f t="shared" si="8"/>
        <v>0</v>
      </c>
    </row>
    <row r="510" spans="1:1">
      <c r="A510">
        <f t="shared" si="8"/>
        <v>0</v>
      </c>
    </row>
    <row r="511" spans="1:1">
      <c r="A511">
        <f t="shared" si="8"/>
        <v>0</v>
      </c>
    </row>
    <row r="512" spans="1:1">
      <c r="A512">
        <f t="shared" si="8"/>
        <v>0</v>
      </c>
    </row>
    <row r="513" spans="1:1">
      <c r="A513">
        <f t="shared" si="8"/>
        <v>0</v>
      </c>
    </row>
    <row r="514" spans="1:1">
      <c r="A514">
        <f t="shared" si="8"/>
        <v>0</v>
      </c>
    </row>
    <row r="515" spans="1:1">
      <c r="A515">
        <f t="shared" si="8"/>
        <v>0</v>
      </c>
    </row>
    <row r="516" spans="1:1">
      <c r="A516">
        <f t="shared" si="8"/>
        <v>0</v>
      </c>
    </row>
    <row r="517" spans="1:1">
      <c r="A517">
        <f t="shared" si="8"/>
        <v>0</v>
      </c>
    </row>
    <row r="518" spans="1:1">
      <c r="A518">
        <f t="shared" si="8"/>
        <v>0</v>
      </c>
    </row>
    <row r="519" spans="1:1">
      <c r="A519">
        <f t="shared" si="8"/>
        <v>0</v>
      </c>
    </row>
    <row r="520" spans="1:1">
      <c r="A520">
        <f t="shared" si="8"/>
        <v>0</v>
      </c>
    </row>
    <row r="521" spans="1:1">
      <c r="A521">
        <f t="shared" si="8"/>
        <v>0</v>
      </c>
    </row>
    <row r="522" spans="1:1">
      <c r="A522">
        <f t="shared" si="8"/>
        <v>0</v>
      </c>
    </row>
    <row r="523" spans="1:1">
      <c r="A523">
        <f t="shared" si="8"/>
        <v>0</v>
      </c>
    </row>
    <row r="524" spans="1:1">
      <c r="A524">
        <f t="shared" si="8"/>
        <v>0</v>
      </c>
    </row>
    <row r="525" spans="1:1">
      <c r="A525">
        <f t="shared" si="8"/>
        <v>0</v>
      </c>
    </row>
    <row r="526" spans="1:1">
      <c r="A526">
        <f t="shared" si="8"/>
        <v>0</v>
      </c>
    </row>
    <row r="527" spans="1:1">
      <c r="A527">
        <f t="shared" si="8"/>
        <v>0</v>
      </c>
    </row>
    <row r="528" spans="1:1">
      <c r="A528">
        <f t="shared" si="8"/>
        <v>0</v>
      </c>
    </row>
    <row r="529" spans="1:1">
      <c r="A529">
        <f t="shared" si="8"/>
        <v>0</v>
      </c>
    </row>
    <row r="530" spans="1:1">
      <c r="A530">
        <f t="shared" si="8"/>
        <v>0</v>
      </c>
    </row>
    <row r="531" spans="1:1">
      <c r="A531">
        <f t="shared" si="8"/>
        <v>0</v>
      </c>
    </row>
    <row r="532" spans="1:1">
      <c r="A532">
        <f t="shared" si="8"/>
        <v>0</v>
      </c>
    </row>
    <row r="533" spans="1:1">
      <c r="A533">
        <f t="shared" si="8"/>
        <v>0</v>
      </c>
    </row>
    <row r="534" spans="1:1">
      <c r="A534">
        <f t="shared" si="8"/>
        <v>0</v>
      </c>
    </row>
    <row r="535" spans="1:1">
      <c r="A535">
        <f t="shared" si="8"/>
        <v>0</v>
      </c>
    </row>
    <row r="536" spans="1:1">
      <c r="A536">
        <f t="shared" si="8"/>
        <v>0</v>
      </c>
    </row>
    <row r="537" spans="1:1">
      <c r="A537">
        <f t="shared" si="8"/>
        <v>0</v>
      </c>
    </row>
    <row r="538" spans="1:1">
      <c r="A538">
        <f t="shared" si="8"/>
        <v>0</v>
      </c>
    </row>
    <row r="539" spans="1:1">
      <c r="A539">
        <f t="shared" si="8"/>
        <v>0</v>
      </c>
    </row>
    <row r="540" spans="1:1">
      <c r="A540">
        <f t="shared" si="8"/>
        <v>0</v>
      </c>
    </row>
    <row r="541" spans="1:1">
      <c r="A541">
        <f t="shared" si="8"/>
        <v>0</v>
      </c>
    </row>
    <row r="542" spans="1:1">
      <c r="A542">
        <f t="shared" si="8"/>
        <v>0</v>
      </c>
    </row>
    <row r="543" spans="1:1">
      <c r="A543">
        <f t="shared" si="8"/>
        <v>0</v>
      </c>
    </row>
    <row r="544" spans="1:1">
      <c r="A544">
        <f t="shared" ref="A544:A607" si="9">IF(K544="W","",B544)</f>
        <v>0</v>
      </c>
    </row>
    <row r="545" spans="1:1">
      <c r="A545">
        <f t="shared" si="9"/>
        <v>0</v>
      </c>
    </row>
    <row r="546" spans="1:1">
      <c r="A546">
        <f t="shared" si="9"/>
        <v>0</v>
      </c>
    </row>
    <row r="547" spans="1:1">
      <c r="A547">
        <f t="shared" si="9"/>
        <v>0</v>
      </c>
    </row>
    <row r="548" spans="1:1">
      <c r="A548">
        <f t="shared" si="9"/>
        <v>0</v>
      </c>
    </row>
    <row r="549" spans="1:1">
      <c r="A549">
        <f t="shared" si="9"/>
        <v>0</v>
      </c>
    </row>
    <row r="550" spans="1:1">
      <c r="A550">
        <f t="shared" si="9"/>
        <v>0</v>
      </c>
    </row>
    <row r="551" spans="1:1">
      <c r="A551">
        <f t="shared" si="9"/>
        <v>0</v>
      </c>
    </row>
    <row r="552" spans="1:1">
      <c r="A552">
        <f t="shared" si="9"/>
        <v>0</v>
      </c>
    </row>
    <row r="553" spans="1:1">
      <c r="A553">
        <f t="shared" si="9"/>
        <v>0</v>
      </c>
    </row>
    <row r="554" spans="1:1">
      <c r="A554">
        <f t="shared" si="9"/>
        <v>0</v>
      </c>
    </row>
    <row r="555" spans="1:1">
      <c r="A555">
        <f t="shared" si="9"/>
        <v>0</v>
      </c>
    </row>
    <row r="556" spans="1:1">
      <c r="A556">
        <f t="shared" si="9"/>
        <v>0</v>
      </c>
    </row>
    <row r="557" spans="1:1">
      <c r="A557">
        <f t="shared" si="9"/>
        <v>0</v>
      </c>
    </row>
    <row r="558" spans="1:1">
      <c r="A558">
        <f t="shared" si="9"/>
        <v>0</v>
      </c>
    </row>
    <row r="559" spans="1:1">
      <c r="A559">
        <f t="shared" si="9"/>
        <v>0</v>
      </c>
    </row>
    <row r="560" spans="1:1">
      <c r="A560">
        <f t="shared" si="9"/>
        <v>0</v>
      </c>
    </row>
    <row r="561" spans="1:1">
      <c r="A561">
        <f t="shared" si="9"/>
        <v>0</v>
      </c>
    </row>
    <row r="562" spans="1:1">
      <c r="A562">
        <f t="shared" si="9"/>
        <v>0</v>
      </c>
    </row>
    <row r="563" spans="1:1">
      <c r="A563">
        <f t="shared" si="9"/>
        <v>0</v>
      </c>
    </row>
    <row r="564" spans="1:1">
      <c r="A564">
        <f t="shared" si="9"/>
        <v>0</v>
      </c>
    </row>
    <row r="565" spans="1:1">
      <c r="A565">
        <f t="shared" si="9"/>
        <v>0</v>
      </c>
    </row>
    <row r="566" spans="1:1">
      <c r="A566">
        <f t="shared" si="9"/>
        <v>0</v>
      </c>
    </row>
    <row r="567" spans="1:1">
      <c r="A567">
        <f t="shared" si="9"/>
        <v>0</v>
      </c>
    </row>
    <row r="568" spans="1:1">
      <c r="A568">
        <f t="shared" si="9"/>
        <v>0</v>
      </c>
    </row>
    <row r="569" spans="1:1">
      <c r="A569">
        <f t="shared" si="9"/>
        <v>0</v>
      </c>
    </row>
    <row r="570" spans="1:1">
      <c r="A570">
        <f t="shared" si="9"/>
        <v>0</v>
      </c>
    </row>
    <row r="571" spans="1:1">
      <c r="A571">
        <f t="shared" si="9"/>
        <v>0</v>
      </c>
    </row>
    <row r="572" spans="1:1">
      <c r="A572">
        <f t="shared" si="9"/>
        <v>0</v>
      </c>
    </row>
    <row r="573" spans="1:1">
      <c r="A573">
        <f t="shared" si="9"/>
        <v>0</v>
      </c>
    </row>
    <row r="574" spans="1:1">
      <c r="A574">
        <f t="shared" si="9"/>
        <v>0</v>
      </c>
    </row>
    <row r="575" spans="1:1">
      <c r="A575">
        <f t="shared" si="9"/>
        <v>0</v>
      </c>
    </row>
    <row r="576" spans="1:1">
      <c r="A576">
        <f t="shared" si="9"/>
        <v>0</v>
      </c>
    </row>
    <row r="577" spans="1:1">
      <c r="A577">
        <f t="shared" si="9"/>
        <v>0</v>
      </c>
    </row>
    <row r="578" spans="1:1">
      <c r="A578">
        <f t="shared" si="9"/>
        <v>0</v>
      </c>
    </row>
    <row r="579" spans="1:1">
      <c r="A579">
        <f t="shared" si="9"/>
        <v>0</v>
      </c>
    </row>
    <row r="580" spans="1:1">
      <c r="A580">
        <f t="shared" si="9"/>
        <v>0</v>
      </c>
    </row>
    <row r="581" spans="1:1">
      <c r="A581">
        <f t="shared" si="9"/>
        <v>0</v>
      </c>
    </row>
    <row r="582" spans="1:1">
      <c r="A582">
        <f t="shared" si="9"/>
        <v>0</v>
      </c>
    </row>
    <row r="583" spans="1:1">
      <c r="A583">
        <f t="shared" si="9"/>
        <v>0</v>
      </c>
    </row>
    <row r="584" spans="1:1">
      <c r="A584">
        <f t="shared" si="9"/>
        <v>0</v>
      </c>
    </row>
    <row r="585" spans="1:1">
      <c r="A585">
        <f t="shared" si="9"/>
        <v>0</v>
      </c>
    </row>
    <row r="586" spans="1:1">
      <c r="A586">
        <f t="shared" si="9"/>
        <v>0</v>
      </c>
    </row>
    <row r="587" spans="1:1">
      <c r="A587">
        <f t="shared" si="9"/>
        <v>0</v>
      </c>
    </row>
    <row r="588" spans="1:1">
      <c r="A588">
        <f t="shared" si="9"/>
        <v>0</v>
      </c>
    </row>
    <row r="589" spans="1:1">
      <c r="A589">
        <f t="shared" si="9"/>
        <v>0</v>
      </c>
    </row>
    <row r="590" spans="1:1">
      <c r="A590">
        <f t="shared" si="9"/>
        <v>0</v>
      </c>
    </row>
    <row r="591" spans="1:1">
      <c r="A591">
        <f t="shared" si="9"/>
        <v>0</v>
      </c>
    </row>
    <row r="592" spans="1:1">
      <c r="A592">
        <f t="shared" si="9"/>
        <v>0</v>
      </c>
    </row>
    <row r="593" spans="1:1">
      <c r="A593">
        <f t="shared" si="9"/>
        <v>0</v>
      </c>
    </row>
    <row r="594" spans="1:1">
      <c r="A594">
        <f t="shared" si="9"/>
        <v>0</v>
      </c>
    </row>
    <row r="595" spans="1:1">
      <c r="A595">
        <f t="shared" si="9"/>
        <v>0</v>
      </c>
    </row>
    <row r="596" spans="1:1">
      <c r="A596">
        <f t="shared" si="9"/>
        <v>0</v>
      </c>
    </row>
    <row r="597" spans="1:1">
      <c r="A597">
        <f t="shared" si="9"/>
        <v>0</v>
      </c>
    </row>
    <row r="598" spans="1:1">
      <c r="A598">
        <f t="shared" si="9"/>
        <v>0</v>
      </c>
    </row>
    <row r="599" spans="1:1">
      <c r="A599">
        <f t="shared" si="9"/>
        <v>0</v>
      </c>
    </row>
    <row r="600" spans="1:1">
      <c r="A600">
        <f t="shared" si="9"/>
        <v>0</v>
      </c>
    </row>
    <row r="601" spans="1:1">
      <c r="A601">
        <f t="shared" si="9"/>
        <v>0</v>
      </c>
    </row>
    <row r="602" spans="1:1">
      <c r="A602">
        <f t="shared" si="9"/>
        <v>0</v>
      </c>
    </row>
    <row r="603" spans="1:1">
      <c r="A603">
        <f t="shared" si="9"/>
        <v>0</v>
      </c>
    </row>
    <row r="604" spans="1:1">
      <c r="A604">
        <f t="shared" si="9"/>
        <v>0</v>
      </c>
    </row>
    <row r="605" spans="1:1">
      <c r="A605">
        <f t="shared" si="9"/>
        <v>0</v>
      </c>
    </row>
    <row r="606" spans="1:1">
      <c r="A606">
        <f t="shared" si="9"/>
        <v>0</v>
      </c>
    </row>
    <row r="607" spans="1:1">
      <c r="A607">
        <f t="shared" si="9"/>
        <v>0</v>
      </c>
    </row>
    <row r="608" spans="1:1">
      <c r="A608">
        <f t="shared" ref="A608:A631" si="10">IF(K608="W","",B608)</f>
        <v>0</v>
      </c>
    </row>
    <row r="609" spans="1:1">
      <c r="A609">
        <f t="shared" si="10"/>
        <v>0</v>
      </c>
    </row>
    <row r="610" spans="1:1">
      <c r="A610">
        <f t="shared" si="10"/>
        <v>0</v>
      </c>
    </row>
    <row r="611" spans="1:1">
      <c r="A611">
        <f t="shared" si="10"/>
        <v>0</v>
      </c>
    </row>
    <row r="612" spans="1:1">
      <c r="A612">
        <f t="shared" si="10"/>
        <v>0</v>
      </c>
    </row>
    <row r="613" spans="1:1">
      <c r="A613">
        <f t="shared" si="10"/>
        <v>0</v>
      </c>
    </row>
    <row r="614" spans="1:1">
      <c r="A614">
        <f t="shared" si="10"/>
        <v>0</v>
      </c>
    </row>
    <row r="615" spans="1:1">
      <c r="A615">
        <f t="shared" si="10"/>
        <v>0</v>
      </c>
    </row>
    <row r="616" spans="1:1">
      <c r="A616">
        <f t="shared" si="10"/>
        <v>0</v>
      </c>
    </row>
    <row r="617" spans="1:1">
      <c r="A617">
        <f t="shared" si="10"/>
        <v>0</v>
      </c>
    </row>
    <row r="618" spans="1:1">
      <c r="A618">
        <f t="shared" si="10"/>
        <v>0</v>
      </c>
    </row>
    <row r="619" spans="1:1">
      <c r="A619">
        <f t="shared" si="10"/>
        <v>0</v>
      </c>
    </row>
    <row r="620" spans="1:1">
      <c r="A620">
        <f t="shared" si="10"/>
        <v>0</v>
      </c>
    </row>
    <row r="621" spans="1:1">
      <c r="A621">
        <f t="shared" si="10"/>
        <v>0</v>
      </c>
    </row>
    <row r="622" spans="1:1">
      <c r="A622">
        <f t="shared" si="10"/>
        <v>0</v>
      </c>
    </row>
    <row r="623" spans="1:1">
      <c r="A623">
        <f t="shared" si="10"/>
        <v>0</v>
      </c>
    </row>
    <row r="624" spans="1:1">
      <c r="A624">
        <f t="shared" si="10"/>
        <v>0</v>
      </c>
    </row>
    <row r="625" spans="1:1">
      <c r="A625">
        <f t="shared" si="10"/>
        <v>0</v>
      </c>
    </row>
    <row r="626" spans="1:1">
      <c r="A626">
        <f t="shared" si="10"/>
        <v>0</v>
      </c>
    </row>
    <row r="627" spans="1:1">
      <c r="A627">
        <f t="shared" si="10"/>
        <v>0</v>
      </c>
    </row>
    <row r="628" spans="1:1">
      <c r="A628">
        <f t="shared" si="10"/>
        <v>0</v>
      </c>
    </row>
    <row r="629" spans="1:1">
      <c r="A629">
        <f t="shared" si="10"/>
        <v>0</v>
      </c>
    </row>
    <row r="630" spans="1:1">
      <c r="A630">
        <f t="shared" si="10"/>
        <v>0</v>
      </c>
    </row>
    <row r="631" spans="1:1">
      <c r="A631">
        <f t="shared" si="1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12"/>
  <sheetViews>
    <sheetView workbookViewId="0">
      <selection sqref="A1:Z292"/>
    </sheetView>
  </sheetViews>
  <sheetFormatPr defaultRowHeight="15"/>
  <sheetData>
    <row r="1" spans="1:26">
      <c r="C1">
        <v>50666</v>
      </c>
      <c r="D1" t="s">
        <v>113</v>
      </c>
      <c r="H1" t="s">
        <v>114</v>
      </c>
    </row>
    <row r="2" spans="1:26">
      <c r="A2" t="s">
        <v>115</v>
      </c>
      <c r="B2" t="s">
        <v>116</v>
      </c>
      <c r="C2">
        <v>201310</v>
      </c>
      <c r="E2">
        <v>900</v>
      </c>
      <c r="F2">
        <v>0</v>
      </c>
      <c r="G2" t="s">
        <v>29</v>
      </c>
      <c r="H2" s="19">
        <v>44039.571423611109</v>
      </c>
      <c r="I2" s="19">
        <v>44039.571423611109</v>
      </c>
      <c r="O2">
        <v>253</v>
      </c>
      <c r="T2" t="s">
        <v>67</v>
      </c>
      <c r="U2" t="s">
        <v>117</v>
      </c>
      <c r="V2" s="19">
        <v>44046</v>
      </c>
      <c r="W2" t="s">
        <v>118</v>
      </c>
      <c r="X2">
        <v>5</v>
      </c>
      <c r="Y2" s="19">
        <v>44039.634409722225</v>
      </c>
      <c r="Z2" s="19">
        <v>44039.571423611109</v>
      </c>
    </row>
    <row r="3" spans="1:26">
      <c r="A3" t="s">
        <v>115</v>
      </c>
      <c r="B3" t="s">
        <v>116</v>
      </c>
      <c r="C3">
        <v>201310</v>
      </c>
      <c r="E3">
        <v>2700</v>
      </c>
      <c r="F3">
        <v>0</v>
      </c>
      <c r="G3" t="s">
        <v>29</v>
      </c>
      <c r="H3" s="19">
        <v>44039.571423611109</v>
      </c>
      <c r="I3" s="19">
        <v>44039.571423611109</v>
      </c>
      <c r="O3">
        <v>252</v>
      </c>
      <c r="T3" t="s">
        <v>67</v>
      </c>
      <c r="U3" t="s">
        <v>117</v>
      </c>
      <c r="V3" s="19">
        <v>44046</v>
      </c>
      <c r="W3" t="s">
        <v>118</v>
      </c>
      <c r="X3">
        <v>5</v>
      </c>
      <c r="Y3" s="19">
        <v>44039.634409722225</v>
      </c>
      <c r="Z3" s="19">
        <v>44039.571423611109</v>
      </c>
    </row>
    <row r="4" spans="1:26">
      <c r="A4" t="s">
        <v>115</v>
      </c>
      <c r="B4" t="s">
        <v>116</v>
      </c>
      <c r="C4">
        <v>201310</v>
      </c>
      <c r="E4">
        <v>-3600</v>
      </c>
      <c r="F4">
        <v>0</v>
      </c>
      <c r="G4" t="s">
        <v>29</v>
      </c>
      <c r="H4" s="19">
        <v>44039.571423611109</v>
      </c>
      <c r="I4" s="19">
        <v>44039.571423611109</v>
      </c>
      <c r="O4">
        <v>251</v>
      </c>
      <c r="T4" t="s">
        <v>67</v>
      </c>
      <c r="U4" t="s">
        <v>117</v>
      </c>
      <c r="V4" s="19">
        <v>44046</v>
      </c>
      <c r="W4" t="s">
        <v>118</v>
      </c>
      <c r="X4">
        <v>5</v>
      </c>
      <c r="Y4" s="19">
        <v>44039.634409722225</v>
      </c>
      <c r="Z4" s="19">
        <v>44039.571423611109</v>
      </c>
    </row>
    <row r="5" spans="1:26">
      <c r="A5" t="s">
        <v>115</v>
      </c>
      <c r="B5" t="s">
        <v>119</v>
      </c>
      <c r="C5">
        <v>201310</v>
      </c>
      <c r="E5">
        <v>3600</v>
      </c>
      <c r="F5">
        <v>0</v>
      </c>
      <c r="G5" t="s">
        <v>29</v>
      </c>
      <c r="H5" s="19">
        <v>43192.364652777775</v>
      </c>
      <c r="I5" s="19">
        <v>43192.364652777775</v>
      </c>
      <c r="O5">
        <v>147</v>
      </c>
      <c r="T5" t="s">
        <v>67</v>
      </c>
      <c r="W5" t="s">
        <v>120</v>
      </c>
      <c r="X5">
        <v>2</v>
      </c>
      <c r="Y5" s="19">
        <v>43792.548981481479</v>
      </c>
      <c r="Z5" s="19">
        <v>43192.364652777775</v>
      </c>
    </row>
    <row r="6" spans="1:26">
      <c r="A6" t="s">
        <v>121</v>
      </c>
      <c r="B6" t="s">
        <v>122</v>
      </c>
      <c r="C6">
        <v>201310</v>
      </c>
      <c r="E6">
        <v>15</v>
      </c>
      <c r="F6">
        <v>0</v>
      </c>
      <c r="G6" t="s">
        <v>123</v>
      </c>
      <c r="H6" s="19">
        <v>41206</v>
      </c>
      <c r="I6" s="19">
        <v>41206</v>
      </c>
      <c r="L6">
        <v>216146</v>
      </c>
      <c r="O6">
        <v>56</v>
      </c>
      <c r="T6" t="s">
        <v>67</v>
      </c>
      <c r="U6" t="s">
        <v>124</v>
      </c>
      <c r="V6" s="19">
        <v>41207</v>
      </c>
      <c r="W6" t="s">
        <v>125</v>
      </c>
      <c r="X6">
        <v>1270</v>
      </c>
      <c r="Y6" s="19">
        <v>41206.583009259259</v>
      </c>
      <c r="Z6" s="19">
        <v>41206.467569444445</v>
      </c>
    </row>
    <row r="7" spans="1:26">
      <c r="A7" t="s">
        <v>126</v>
      </c>
      <c r="B7" t="s">
        <v>127</v>
      </c>
      <c r="C7">
        <v>201310</v>
      </c>
      <c r="D7">
        <v>15</v>
      </c>
      <c r="F7">
        <v>0</v>
      </c>
      <c r="G7" t="s">
        <v>123</v>
      </c>
      <c r="H7" s="19">
        <v>41206</v>
      </c>
      <c r="I7" s="19">
        <v>41206</v>
      </c>
      <c r="L7">
        <v>216146</v>
      </c>
      <c r="O7">
        <v>55</v>
      </c>
      <c r="T7" t="s">
        <v>67</v>
      </c>
      <c r="U7" t="s">
        <v>124</v>
      </c>
      <c r="V7" s="19">
        <v>41207</v>
      </c>
      <c r="W7" t="s">
        <v>125</v>
      </c>
      <c r="X7">
        <v>1270</v>
      </c>
      <c r="Y7" s="19">
        <v>41206.583009259259</v>
      </c>
      <c r="Z7" s="19">
        <v>41206.467534722222</v>
      </c>
    </row>
    <row r="8" spans="1:26">
      <c r="A8" t="s">
        <v>128</v>
      </c>
      <c r="B8" t="s">
        <v>129</v>
      </c>
      <c r="C8">
        <v>201310</v>
      </c>
      <c r="D8">
        <v>40</v>
      </c>
      <c r="F8">
        <v>0</v>
      </c>
      <c r="G8" t="s">
        <v>123</v>
      </c>
      <c r="H8" s="19">
        <v>41205</v>
      </c>
      <c r="I8" s="19">
        <v>41205</v>
      </c>
      <c r="L8">
        <v>216028</v>
      </c>
      <c r="O8">
        <v>54</v>
      </c>
      <c r="T8" t="s">
        <v>67</v>
      </c>
      <c r="U8" t="s">
        <v>130</v>
      </c>
      <c r="V8" s="19">
        <v>41205</v>
      </c>
      <c r="W8" t="s">
        <v>131</v>
      </c>
      <c r="X8">
        <v>553</v>
      </c>
      <c r="Y8" s="19">
        <v>41205.584328703706</v>
      </c>
      <c r="Z8" s="19">
        <v>41205.478530092594</v>
      </c>
    </row>
    <row r="9" spans="1:26">
      <c r="A9" t="s">
        <v>121</v>
      </c>
      <c r="B9" t="s">
        <v>122</v>
      </c>
      <c r="C9">
        <v>201310</v>
      </c>
      <c r="E9">
        <v>40</v>
      </c>
      <c r="F9">
        <v>0</v>
      </c>
      <c r="G9" t="s">
        <v>123</v>
      </c>
      <c r="H9" s="19">
        <v>41205</v>
      </c>
      <c r="I9" s="19">
        <v>41205</v>
      </c>
      <c r="L9">
        <v>216028</v>
      </c>
      <c r="O9">
        <v>53</v>
      </c>
      <c r="T9" t="s">
        <v>67</v>
      </c>
      <c r="U9" t="s">
        <v>130</v>
      </c>
      <c r="V9" s="19">
        <v>41205</v>
      </c>
      <c r="W9" t="s">
        <v>131</v>
      </c>
      <c r="X9">
        <v>553</v>
      </c>
      <c r="Y9" s="19">
        <v>41205.584328703706</v>
      </c>
      <c r="Z9" s="19">
        <v>41205.478368055556</v>
      </c>
    </row>
    <row r="10" spans="1:26">
      <c r="A10" t="s">
        <v>126</v>
      </c>
      <c r="B10" t="s">
        <v>127</v>
      </c>
      <c r="C10">
        <v>201310</v>
      </c>
      <c r="D10">
        <v>4</v>
      </c>
      <c r="F10">
        <v>0</v>
      </c>
      <c r="G10" t="s">
        <v>123</v>
      </c>
      <c r="H10" s="19">
        <v>41199</v>
      </c>
      <c r="I10" s="19">
        <v>41199</v>
      </c>
      <c r="L10">
        <v>215535</v>
      </c>
      <c r="O10">
        <v>52</v>
      </c>
      <c r="T10" t="s">
        <v>67</v>
      </c>
      <c r="U10" t="s">
        <v>132</v>
      </c>
      <c r="V10" s="19">
        <v>41200</v>
      </c>
      <c r="W10" t="s">
        <v>131</v>
      </c>
      <c r="X10">
        <v>547</v>
      </c>
      <c r="Y10" s="19">
        <v>41199.587465277778</v>
      </c>
      <c r="Z10" s="19">
        <v>41199.499652777777</v>
      </c>
    </row>
    <row r="11" spans="1:26">
      <c r="A11" t="s">
        <v>121</v>
      </c>
      <c r="B11" t="s">
        <v>122</v>
      </c>
      <c r="C11">
        <v>201310</v>
      </c>
      <c r="E11">
        <v>4</v>
      </c>
      <c r="F11">
        <v>0</v>
      </c>
      <c r="G11" t="s">
        <v>123</v>
      </c>
      <c r="H11" s="19">
        <v>41199</v>
      </c>
      <c r="I11" s="19">
        <v>41199</v>
      </c>
      <c r="L11">
        <v>215535</v>
      </c>
      <c r="O11">
        <v>51</v>
      </c>
      <c r="T11" t="s">
        <v>67</v>
      </c>
      <c r="U11" t="s">
        <v>132</v>
      </c>
      <c r="V11" s="19">
        <v>41200</v>
      </c>
      <c r="W11" t="s">
        <v>131</v>
      </c>
      <c r="X11">
        <v>547</v>
      </c>
      <c r="Y11" s="19">
        <v>41199.587465277778</v>
      </c>
      <c r="Z11" s="19">
        <v>41199.499606481484</v>
      </c>
    </row>
    <row r="12" spans="1:26">
      <c r="A12" t="s">
        <v>133</v>
      </c>
      <c r="B12" t="s">
        <v>134</v>
      </c>
      <c r="C12">
        <v>201310</v>
      </c>
      <c r="D12">
        <v>-900</v>
      </c>
      <c r="F12">
        <v>0</v>
      </c>
      <c r="G12" t="s">
        <v>135</v>
      </c>
      <c r="H12" s="19">
        <v>41155.589606481481</v>
      </c>
      <c r="I12" s="19">
        <v>41155.589606481481</v>
      </c>
      <c r="O12">
        <v>50</v>
      </c>
      <c r="T12" t="s">
        <v>67</v>
      </c>
      <c r="U12" t="s">
        <v>136</v>
      </c>
      <c r="V12" s="19">
        <v>43510</v>
      </c>
      <c r="W12" t="s">
        <v>137</v>
      </c>
      <c r="X12">
        <v>59</v>
      </c>
      <c r="Y12" s="19">
        <v>42626.967106481483</v>
      </c>
      <c r="Z12" s="19">
        <v>41155.589606481481</v>
      </c>
    </row>
    <row r="13" spans="1:26">
      <c r="A13" t="s">
        <v>133</v>
      </c>
      <c r="B13" t="s">
        <v>134</v>
      </c>
      <c r="C13">
        <v>201310</v>
      </c>
      <c r="D13">
        <v>900</v>
      </c>
      <c r="F13">
        <v>0</v>
      </c>
      <c r="G13" t="s">
        <v>135</v>
      </c>
      <c r="H13" s="19">
        <v>41155.589606481481</v>
      </c>
      <c r="I13" s="19">
        <v>41155.589606481481</v>
      </c>
      <c r="O13">
        <v>49</v>
      </c>
      <c r="T13" t="s">
        <v>67</v>
      </c>
      <c r="U13" t="s">
        <v>136</v>
      </c>
      <c r="V13" s="19">
        <v>43510</v>
      </c>
      <c r="W13" t="s">
        <v>137</v>
      </c>
      <c r="X13">
        <v>59</v>
      </c>
      <c r="Y13" s="19">
        <v>42626.967106481483</v>
      </c>
      <c r="Z13" s="19">
        <v>41155.589606481481</v>
      </c>
    </row>
    <row r="14" spans="1:26">
      <c r="A14" t="s">
        <v>133</v>
      </c>
      <c r="B14" t="s">
        <v>134</v>
      </c>
      <c r="C14">
        <v>201310</v>
      </c>
      <c r="D14">
        <v>900</v>
      </c>
      <c r="F14">
        <v>0</v>
      </c>
      <c r="G14" t="s">
        <v>135</v>
      </c>
      <c r="H14" s="19">
        <v>41149.865520833337</v>
      </c>
      <c r="I14" s="19">
        <v>41149.865520833337</v>
      </c>
      <c r="O14">
        <v>48</v>
      </c>
      <c r="T14" t="s">
        <v>67</v>
      </c>
      <c r="U14" t="s">
        <v>138</v>
      </c>
      <c r="V14" s="19">
        <v>43510</v>
      </c>
      <c r="W14" t="s">
        <v>137</v>
      </c>
      <c r="X14">
        <v>59</v>
      </c>
      <c r="Y14" s="19">
        <v>42626.967106481483</v>
      </c>
      <c r="Z14" s="19">
        <v>41149.865532407406</v>
      </c>
    </row>
    <row r="15" spans="1:26">
      <c r="A15" t="s">
        <v>133</v>
      </c>
      <c r="B15" t="s">
        <v>134</v>
      </c>
      <c r="C15">
        <v>201310</v>
      </c>
      <c r="D15">
        <v>-900</v>
      </c>
      <c r="F15">
        <v>0</v>
      </c>
      <c r="G15" t="s">
        <v>135</v>
      </c>
      <c r="H15" s="19">
        <v>41149.847708333335</v>
      </c>
      <c r="I15" s="19">
        <v>41149.847708333335</v>
      </c>
      <c r="O15">
        <v>47</v>
      </c>
      <c r="T15" t="s">
        <v>67</v>
      </c>
      <c r="U15" t="s">
        <v>138</v>
      </c>
      <c r="V15" s="19">
        <v>43510</v>
      </c>
      <c r="W15" t="s">
        <v>137</v>
      </c>
      <c r="X15">
        <v>59</v>
      </c>
      <c r="Y15" s="19">
        <v>42626.967106481483</v>
      </c>
      <c r="Z15" s="19">
        <v>41149.847708333335</v>
      </c>
    </row>
    <row r="16" spans="1:26">
      <c r="A16" t="s">
        <v>133</v>
      </c>
      <c r="B16" t="s">
        <v>134</v>
      </c>
      <c r="C16">
        <v>201310</v>
      </c>
      <c r="D16">
        <v>-900</v>
      </c>
      <c r="F16">
        <v>0</v>
      </c>
      <c r="G16" t="s">
        <v>135</v>
      </c>
      <c r="H16" s="19">
        <v>41149.847511574073</v>
      </c>
      <c r="I16" s="19">
        <v>41149.847511574073</v>
      </c>
      <c r="O16">
        <v>46</v>
      </c>
      <c r="T16" t="s">
        <v>67</v>
      </c>
      <c r="U16" t="s">
        <v>138</v>
      </c>
      <c r="V16" s="19">
        <v>43510</v>
      </c>
      <c r="W16" t="s">
        <v>137</v>
      </c>
      <c r="X16">
        <v>59</v>
      </c>
      <c r="Y16" s="19">
        <v>42626.967106481483</v>
      </c>
      <c r="Z16" s="19">
        <v>41149.84752314815</v>
      </c>
    </row>
    <row r="17" spans="1:26">
      <c r="A17" t="s">
        <v>133</v>
      </c>
      <c r="B17" t="s">
        <v>134</v>
      </c>
      <c r="C17">
        <v>201310</v>
      </c>
      <c r="D17">
        <v>900</v>
      </c>
      <c r="F17">
        <v>0</v>
      </c>
      <c r="G17" t="s">
        <v>135</v>
      </c>
      <c r="H17" s="19">
        <v>41149.847511574073</v>
      </c>
      <c r="I17" s="19">
        <v>41149.847511574073</v>
      </c>
      <c r="O17">
        <v>45</v>
      </c>
      <c r="T17" t="s">
        <v>67</v>
      </c>
      <c r="U17" t="s">
        <v>138</v>
      </c>
      <c r="V17" s="19">
        <v>43510</v>
      </c>
      <c r="W17" t="s">
        <v>137</v>
      </c>
      <c r="X17">
        <v>59</v>
      </c>
      <c r="Y17" s="19">
        <v>42626.967106481483</v>
      </c>
      <c r="Z17" s="19">
        <v>41149.84752314815</v>
      </c>
    </row>
    <row r="18" spans="1:26">
      <c r="A18" t="s">
        <v>133</v>
      </c>
      <c r="B18" t="s">
        <v>134</v>
      </c>
      <c r="C18">
        <v>201310</v>
      </c>
      <c r="D18">
        <v>900</v>
      </c>
      <c r="F18">
        <v>0</v>
      </c>
      <c r="G18" t="s">
        <v>135</v>
      </c>
      <c r="H18" s="19">
        <v>41149.83152777778</v>
      </c>
      <c r="I18" s="19">
        <v>41149.83152777778</v>
      </c>
      <c r="O18">
        <v>44</v>
      </c>
      <c r="T18" t="s">
        <v>67</v>
      </c>
      <c r="U18" t="s">
        <v>138</v>
      </c>
      <c r="V18" s="19">
        <v>43510</v>
      </c>
      <c r="W18" t="s">
        <v>137</v>
      </c>
      <c r="X18">
        <v>59</v>
      </c>
      <c r="Y18" s="19">
        <v>42626.967106481483</v>
      </c>
      <c r="Z18" s="19">
        <v>41149.83153935185</v>
      </c>
    </row>
    <row r="19" spans="1:26">
      <c r="A19" t="s">
        <v>133</v>
      </c>
      <c r="B19" t="s">
        <v>134</v>
      </c>
      <c r="C19">
        <v>201310</v>
      </c>
      <c r="D19">
        <v>-900</v>
      </c>
      <c r="F19">
        <v>0</v>
      </c>
      <c r="G19" t="s">
        <v>135</v>
      </c>
      <c r="H19" s="19">
        <v>41149.8283912037</v>
      </c>
      <c r="I19" s="19">
        <v>41149.8283912037</v>
      </c>
      <c r="O19">
        <v>43</v>
      </c>
      <c r="T19" t="s">
        <v>67</v>
      </c>
      <c r="U19" t="s">
        <v>138</v>
      </c>
      <c r="V19" s="19">
        <v>43510</v>
      </c>
      <c r="W19" t="s">
        <v>137</v>
      </c>
      <c r="X19">
        <v>59</v>
      </c>
      <c r="Y19" s="19">
        <v>42626.967106481483</v>
      </c>
      <c r="Z19" s="19">
        <v>41149.828402777777</v>
      </c>
    </row>
    <row r="20" spans="1:26">
      <c r="A20" t="s">
        <v>139</v>
      </c>
      <c r="B20" t="s">
        <v>140</v>
      </c>
      <c r="C20">
        <v>201310</v>
      </c>
      <c r="E20">
        <v>410</v>
      </c>
      <c r="F20">
        <v>0</v>
      </c>
      <c r="G20" t="s">
        <v>123</v>
      </c>
      <c r="H20" s="19">
        <v>41148</v>
      </c>
      <c r="I20" s="19">
        <v>41148</v>
      </c>
      <c r="L20">
        <v>208483</v>
      </c>
      <c r="O20">
        <v>42</v>
      </c>
      <c r="T20" t="s">
        <v>67</v>
      </c>
      <c r="U20" t="s">
        <v>141</v>
      </c>
      <c r="V20" s="19">
        <v>41149</v>
      </c>
      <c r="W20" t="s">
        <v>131</v>
      </c>
      <c r="X20">
        <v>483</v>
      </c>
      <c r="Y20" s="19">
        <v>41148.685312499998</v>
      </c>
      <c r="Z20" s="19">
        <v>41148.569050925929</v>
      </c>
    </row>
    <row r="21" spans="1:26">
      <c r="A21" t="s">
        <v>133</v>
      </c>
      <c r="B21" t="s">
        <v>134</v>
      </c>
      <c r="C21">
        <v>201310</v>
      </c>
      <c r="D21">
        <v>900</v>
      </c>
      <c r="F21">
        <v>0</v>
      </c>
      <c r="G21" t="s">
        <v>135</v>
      </c>
      <c r="H21" s="19">
        <v>41133</v>
      </c>
      <c r="I21" s="19">
        <v>41133</v>
      </c>
      <c r="M21" t="s">
        <v>142</v>
      </c>
      <c r="O21">
        <v>41</v>
      </c>
      <c r="T21" t="s">
        <v>67</v>
      </c>
      <c r="U21" t="s">
        <v>143</v>
      </c>
      <c r="V21" s="19">
        <v>43510</v>
      </c>
      <c r="W21" t="s">
        <v>137</v>
      </c>
      <c r="X21">
        <v>59</v>
      </c>
      <c r="Y21" s="19">
        <v>42626.967106481483</v>
      </c>
      <c r="Z21" s="19">
        <v>41133.578541666669</v>
      </c>
    </row>
    <row r="22" spans="1:26">
      <c r="A22" t="s">
        <v>133</v>
      </c>
      <c r="B22" t="s">
        <v>134</v>
      </c>
      <c r="C22">
        <v>201310</v>
      </c>
      <c r="D22">
        <v>-900</v>
      </c>
      <c r="F22">
        <v>0</v>
      </c>
      <c r="G22" t="s">
        <v>135</v>
      </c>
      <c r="H22" s="19">
        <v>41133</v>
      </c>
      <c r="I22" s="19">
        <v>41133</v>
      </c>
      <c r="M22" t="s">
        <v>142</v>
      </c>
      <c r="O22">
        <v>40</v>
      </c>
      <c r="T22" t="s">
        <v>67</v>
      </c>
      <c r="U22" t="s">
        <v>143</v>
      </c>
      <c r="V22" s="19">
        <v>43510</v>
      </c>
      <c r="W22" t="s">
        <v>137</v>
      </c>
      <c r="X22">
        <v>59</v>
      </c>
      <c r="Y22" s="19">
        <v>42626.967106481483</v>
      </c>
      <c r="Z22" s="19">
        <v>41133.577546296299</v>
      </c>
    </row>
    <row r="23" spans="1:26">
      <c r="A23" t="s">
        <v>133</v>
      </c>
      <c r="B23" t="s">
        <v>134</v>
      </c>
      <c r="C23">
        <v>201310</v>
      </c>
      <c r="D23">
        <v>900</v>
      </c>
      <c r="F23">
        <v>0</v>
      </c>
      <c r="G23" t="s">
        <v>135</v>
      </c>
      <c r="H23" s="19">
        <v>41129</v>
      </c>
      <c r="I23" s="19">
        <v>41129</v>
      </c>
      <c r="M23" t="s">
        <v>142</v>
      </c>
      <c r="O23">
        <v>39</v>
      </c>
      <c r="T23" t="s">
        <v>67</v>
      </c>
      <c r="U23" t="s">
        <v>144</v>
      </c>
      <c r="V23" s="19">
        <v>43510</v>
      </c>
      <c r="W23" t="s">
        <v>137</v>
      </c>
      <c r="X23">
        <v>59</v>
      </c>
      <c r="Y23" s="19">
        <v>42626.967106481483</v>
      </c>
      <c r="Z23" s="19">
        <v>41129.990613425929</v>
      </c>
    </row>
    <row r="24" spans="1:26">
      <c r="A24" t="s">
        <v>133</v>
      </c>
      <c r="B24" t="s">
        <v>134</v>
      </c>
      <c r="C24">
        <v>201310</v>
      </c>
      <c r="D24">
        <v>-900</v>
      </c>
      <c r="F24">
        <v>0</v>
      </c>
      <c r="G24" t="s">
        <v>135</v>
      </c>
      <c r="H24" s="19">
        <v>41129</v>
      </c>
      <c r="I24" s="19">
        <v>41129</v>
      </c>
      <c r="M24" t="s">
        <v>142</v>
      </c>
      <c r="O24">
        <v>38</v>
      </c>
      <c r="T24" t="s">
        <v>67</v>
      </c>
      <c r="U24" t="s">
        <v>145</v>
      </c>
      <c r="V24" s="19">
        <v>43510</v>
      </c>
      <c r="W24" t="s">
        <v>137</v>
      </c>
      <c r="X24">
        <v>59</v>
      </c>
      <c r="Y24" s="19">
        <v>42626.967106481483</v>
      </c>
      <c r="Z24" s="19">
        <v>41129.989606481482</v>
      </c>
    </row>
    <row r="25" spans="1:26">
      <c r="A25" t="s">
        <v>133</v>
      </c>
      <c r="B25" t="s">
        <v>134</v>
      </c>
      <c r="C25">
        <v>201310</v>
      </c>
      <c r="D25">
        <v>900</v>
      </c>
      <c r="F25">
        <v>0</v>
      </c>
      <c r="G25" t="s">
        <v>135</v>
      </c>
      <c r="H25" s="19">
        <v>41129</v>
      </c>
      <c r="I25" s="19">
        <v>41129</v>
      </c>
      <c r="M25" t="s">
        <v>142</v>
      </c>
      <c r="O25">
        <v>37</v>
      </c>
      <c r="T25" t="s">
        <v>67</v>
      </c>
      <c r="U25" t="s">
        <v>144</v>
      </c>
      <c r="V25" s="19">
        <v>43510</v>
      </c>
      <c r="W25" t="s">
        <v>137</v>
      </c>
      <c r="X25">
        <v>59</v>
      </c>
      <c r="Y25" s="19">
        <v>42626.967106481483</v>
      </c>
      <c r="Z25" s="19">
        <v>41129.988391203704</v>
      </c>
    </row>
    <row r="26" spans="1:26">
      <c r="A26" t="s">
        <v>133</v>
      </c>
      <c r="B26" t="s">
        <v>134</v>
      </c>
      <c r="C26">
        <v>201310</v>
      </c>
      <c r="D26">
        <v>900</v>
      </c>
      <c r="F26">
        <v>0</v>
      </c>
      <c r="G26" t="s">
        <v>135</v>
      </c>
      <c r="H26" s="19">
        <v>41129</v>
      </c>
      <c r="I26" s="19">
        <v>41129</v>
      </c>
      <c r="M26" t="s">
        <v>142</v>
      </c>
      <c r="O26">
        <v>36</v>
      </c>
      <c r="T26" t="s">
        <v>67</v>
      </c>
      <c r="U26" t="s">
        <v>144</v>
      </c>
      <c r="V26" s="19">
        <v>43510</v>
      </c>
      <c r="W26" t="s">
        <v>137</v>
      </c>
      <c r="X26">
        <v>59</v>
      </c>
      <c r="Y26" s="19">
        <v>42626.967106481483</v>
      </c>
      <c r="Z26" s="19">
        <v>41129.987187500003</v>
      </c>
    </row>
    <row r="27" spans="1:26">
      <c r="A27" t="s">
        <v>133</v>
      </c>
      <c r="B27" t="s">
        <v>134</v>
      </c>
      <c r="C27">
        <v>201310</v>
      </c>
      <c r="D27">
        <v>-900</v>
      </c>
      <c r="F27">
        <v>0</v>
      </c>
      <c r="G27" t="s">
        <v>135</v>
      </c>
      <c r="H27" s="19">
        <v>41129</v>
      </c>
      <c r="I27" s="19">
        <v>41129</v>
      </c>
      <c r="M27" t="s">
        <v>142</v>
      </c>
      <c r="O27">
        <v>35</v>
      </c>
      <c r="T27" t="s">
        <v>67</v>
      </c>
      <c r="U27" t="s">
        <v>144</v>
      </c>
      <c r="V27" s="19">
        <v>43510</v>
      </c>
      <c r="W27" t="s">
        <v>137</v>
      </c>
      <c r="X27">
        <v>59</v>
      </c>
      <c r="Y27" s="19">
        <v>42626.967106481483</v>
      </c>
      <c r="Z27" s="19">
        <v>41129.986319444448</v>
      </c>
    </row>
    <row r="28" spans="1:26">
      <c r="A28" t="s">
        <v>133</v>
      </c>
      <c r="B28" t="s">
        <v>134</v>
      </c>
      <c r="C28">
        <v>201310</v>
      </c>
      <c r="D28">
        <v>-900</v>
      </c>
      <c r="F28">
        <v>0</v>
      </c>
      <c r="G28" t="s">
        <v>135</v>
      </c>
      <c r="H28" s="19">
        <v>41129</v>
      </c>
      <c r="I28" s="19">
        <v>41129</v>
      </c>
      <c r="M28" t="s">
        <v>142</v>
      </c>
      <c r="O28">
        <v>34</v>
      </c>
      <c r="T28" t="s">
        <v>67</v>
      </c>
      <c r="U28" t="s">
        <v>144</v>
      </c>
      <c r="V28" s="19">
        <v>43510</v>
      </c>
      <c r="W28" t="s">
        <v>137</v>
      </c>
      <c r="X28">
        <v>59</v>
      </c>
      <c r="Y28" s="19">
        <v>42626.967106481483</v>
      </c>
      <c r="Z28" s="19">
        <v>41129.986319444448</v>
      </c>
    </row>
    <row r="29" spans="1:26">
      <c r="A29" t="s">
        <v>146</v>
      </c>
      <c r="B29" t="s">
        <v>147</v>
      </c>
      <c r="C29">
        <v>201310</v>
      </c>
      <c r="D29">
        <v>900</v>
      </c>
      <c r="F29">
        <v>0</v>
      </c>
      <c r="G29" t="s">
        <v>135</v>
      </c>
      <c r="H29" s="19">
        <v>41129</v>
      </c>
      <c r="I29" s="19">
        <v>41129</v>
      </c>
      <c r="M29" t="s">
        <v>142</v>
      </c>
      <c r="O29">
        <v>33</v>
      </c>
      <c r="T29" t="s">
        <v>67</v>
      </c>
      <c r="U29" t="s">
        <v>145</v>
      </c>
      <c r="V29" s="19">
        <v>43510</v>
      </c>
      <c r="W29" t="s">
        <v>137</v>
      </c>
      <c r="X29">
        <v>59</v>
      </c>
      <c r="Y29" s="19">
        <v>42626.967106481483</v>
      </c>
      <c r="Z29" s="19">
        <v>41129.986087962963</v>
      </c>
    </row>
    <row r="30" spans="1:26">
      <c r="A30" t="s">
        <v>133</v>
      </c>
      <c r="B30" t="s">
        <v>134</v>
      </c>
      <c r="C30">
        <v>201310</v>
      </c>
      <c r="D30">
        <v>900</v>
      </c>
      <c r="F30">
        <v>0</v>
      </c>
      <c r="G30" t="s">
        <v>135</v>
      </c>
      <c r="H30" s="19">
        <v>41129</v>
      </c>
      <c r="I30" s="19">
        <v>41129</v>
      </c>
      <c r="M30" t="s">
        <v>142</v>
      </c>
      <c r="O30">
        <v>32</v>
      </c>
      <c r="T30" t="s">
        <v>67</v>
      </c>
      <c r="U30" t="s">
        <v>144</v>
      </c>
      <c r="V30" s="19">
        <v>43510</v>
      </c>
      <c r="W30" t="s">
        <v>137</v>
      </c>
      <c r="X30">
        <v>59</v>
      </c>
      <c r="Y30" s="19">
        <v>42626.967106481483</v>
      </c>
      <c r="Z30" s="19">
        <v>41129.984548611108</v>
      </c>
    </row>
    <row r="31" spans="1:26">
      <c r="A31" t="s">
        <v>146</v>
      </c>
      <c r="B31" t="s">
        <v>147</v>
      </c>
      <c r="C31">
        <v>201310</v>
      </c>
      <c r="D31">
        <v>-900</v>
      </c>
      <c r="F31">
        <v>0</v>
      </c>
      <c r="G31" t="s">
        <v>135</v>
      </c>
      <c r="H31" s="19">
        <v>41129</v>
      </c>
      <c r="I31" s="19">
        <v>41129</v>
      </c>
      <c r="M31" t="s">
        <v>142</v>
      </c>
      <c r="O31">
        <v>31</v>
      </c>
      <c r="T31" t="s">
        <v>67</v>
      </c>
      <c r="U31" t="s">
        <v>144</v>
      </c>
      <c r="V31" s="19">
        <v>43510</v>
      </c>
      <c r="W31" t="s">
        <v>137</v>
      </c>
      <c r="X31">
        <v>59</v>
      </c>
      <c r="Y31" s="19">
        <v>42626.967106481483</v>
      </c>
      <c r="Z31" s="19">
        <v>41129.984050925923</v>
      </c>
    </row>
    <row r="32" spans="1:26">
      <c r="A32" t="s">
        <v>133</v>
      </c>
      <c r="B32" t="s">
        <v>134</v>
      </c>
      <c r="C32">
        <v>201310</v>
      </c>
      <c r="D32">
        <v>-900</v>
      </c>
      <c r="F32">
        <v>0</v>
      </c>
      <c r="G32" t="s">
        <v>135</v>
      </c>
      <c r="H32" s="19">
        <v>41129</v>
      </c>
      <c r="I32" s="19">
        <v>41129</v>
      </c>
      <c r="M32" t="s">
        <v>142</v>
      </c>
      <c r="O32">
        <v>30</v>
      </c>
      <c r="T32" t="s">
        <v>67</v>
      </c>
      <c r="U32" t="s">
        <v>144</v>
      </c>
      <c r="V32" s="19">
        <v>43510</v>
      </c>
      <c r="W32" t="s">
        <v>137</v>
      </c>
      <c r="X32">
        <v>59</v>
      </c>
      <c r="Y32" s="19">
        <v>42626.967106481483</v>
      </c>
      <c r="Z32" s="19">
        <v>41129.984050925923</v>
      </c>
    </row>
    <row r="33" spans="1:26">
      <c r="A33" t="s">
        <v>133</v>
      </c>
      <c r="B33" t="s">
        <v>134</v>
      </c>
      <c r="C33">
        <v>201310</v>
      </c>
      <c r="D33">
        <v>900</v>
      </c>
      <c r="F33">
        <v>0</v>
      </c>
      <c r="G33" t="s">
        <v>135</v>
      </c>
      <c r="H33" s="19">
        <v>41128</v>
      </c>
      <c r="I33" s="19">
        <v>41128</v>
      </c>
      <c r="M33" t="s">
        <v>142</v>
      </c>
      <c r="O33">
        <v>29</v>
      </c>
      <c r="T33" t="s">
        <v>67</v>
      </c>
      <c r="U33" t="s">
        <v>148</v>
      </c>
      <c r="V33" s="19">
        <v>43510</v>
      </c>
      <c r="W33" t="s">
        <v>137</v>
      </c>
      <c r="X33">
        <v>59</v>
      </c>
      <c r="Y33" s="19">
        <v>42626.967106481483</v>
      </c>
      <c r="Z33" s="19">
        <v>41128.852164351854</v>
      </c>
    </row>
    <row r="34" spans="1:26">
      <c r="A34" t="s">
        <v>133</v>
      </c>
      <c r="B34" t="s">
        <v>134</v>
      </c>
      <c r="C34">
        <v>201310</v>
      </c>
      <c r="D34">
        <v>900</v>
      </c>
      <c r="F34">
        <v>0</v>
      </c>
      <c r="G34" t="s">
        <v>135</v>
      </c>
      <c r="H34" s="19">
        <v>41128</v>
      </c>
      <c r="I34" s="19">
        <v>41128</v>
      </c>
      <c r="M34" t="s">
        <v>142</v>
      </c>
      <c r="O34">
        <v>28</v>
      </c>
      <c r="T34" t="s">
        <v>67</v>
      </c>
      <c r="U34" t="s">
        <v>149</v>
      </c>
      <c r="V34" s="19">
        <v>43510</v>
      </c>
      <c r="W34" t="s">
        <v>137</v>
      </c>
      <c r="X34">
        <v>59</v>
      </c>
      <c r="Y34" s="19">
        <v>42626.967106481483</v>
      </c>
      <c r="Z34" s="19">
        <v>41128.850995370369</v>
      </c>
    </row>
    <row r="35" spans="1:26">
      <c r="A35" t="s">
        <v>133</v>
      </c>
      <c r="B35" t="s">
        <v>134</v>
      </c>
      <c r="C35">
        <v>201310</v>
      </c>
      <c r="D35">
        <v>900</v>
      </c>
      <c r="F35">
        <v>0</v>
      </c>
      <c r="G35" t="s">
        <v>135</v>
      </c>
      <c r="H35" s="19">
        <v>41128</v>
      </c>
      <c r="I35" s="19">
        <v>41128</v>
      </c>
      <c r="M35" t="s">
        <v>142</v>
      </c>
      <c r="O35">
        <v>27</v>
      </c>
      <c r="T35" t="s">
        <v>67</v>
      </c>
      <c r="U35" t="s">
        <v>149</v>
      </c>
      <c r="V35" s="19">
        <v>43510</v>
      </c>
      <c r="W35" t="s">
        <v>137</v>
      </c>
      <c r="X35">
        <v>59</v>
      </c>
      <c r="Y35" s="19">
        <v>42626.967106481483</v>
      </c>
      <c r="Z35" s="19">
        <v>41128.848402777781</v>
      </c>
    </row>
    <row r="36" spans="1:26">
      <c r="A36" t="s">
        <v>133</v>
      </c>
      <c r="B36" t="s">
        <v>134</v>
      </c>
      <c r="C36">
        <v>201310</v>
      </c>
      <c r="D36">
        <v>-900</v>
      </c>
      <c r="F36">
        <v>0</v>
      </c>
      <c r="G36" t="s">
        <v>135</v>
      </c>
      <c r="H36" s="19">
        <v>41128</v>
      </c>
      <c r="I36" s="19">
        <v>41128</v>
      </c>
      <c r="M36" t="s">
        <v>142</v>
      </c>
      <c r="O36">
        <v>26</v>
      </c>
      <c r="T36" t="s">
        <v>67</v>
      </c>
      <c r="U36" t="s">
        <v>148</v>
      </c>
      <c r="V36" s="19">
        <v>43510</v>
      </c>
      <c r="W36" t="s">
        <v>137</v>
      </c>
      <c r="X36">
        <v>59</v>
      </c>
      <c r="Y36" s="19">
        <v>42626.967106481483</v>
      </c>
      <c r="Z36" s="19">
        <v>41128.840162037035</v>
      </c>
    </row>
    <row r="37" spans="1:26">
      <c r="A37" t="s">
        <v>133</v>
      </c>
      <c r="B37" t="s">
        <v>134</v>
      </c>
      <c r="C37">
        <v>201310</v>
      </c>
      <c r="D37">
        <v>-900</v>
      </c>
      <c r="F37">
        <v>0</v>
      </c>
      <c r="G37" t="s">
        <v>135</v>
      </c>
      <c r="H37" s="19">
        <v>41128</v>
      </c>
      <c r="I37" s="19">
        <v>41128</v>
      </c>
      <c r="M37" t="s">
        <v>142</v>
      </c>
      <c r="O37">
        <v>25</v>
      </c>
      <c r="T37" t="s">
        <v>67</v>
      </c>
      <c r="U37" t="s">
        <v>148</v>
      </c>
      <c r="V37" s="19">
        <v>43510</v>
      </c>
      <c r="W37" t="s">
        <v>137</v>
      </c>
      <c r="X37">
        <v>59</v>
      </c>
      <c r="Y37" s="19">
        <v>42626.967106481483</v>
      </c>
      <c r="Z37" s="19">
        <v>41128.840162037035</v>
      </c>
    </row>
    <row r="38" spans="1:26">
      <c r="A38" t="s">
        <v>133</v>
      </c>
      <c r="B38" t="s">
        <v>134</v>
      </c>
      <c r="C38">
        <v>201310</v>
      </c>
      <c r="D38">
        <v>-900</v>
      </c>
      <c r="F38">
        <v>0</v>
      </c>
      <c r="G38" t="s">
        <v>135</v>
      </c>
      <c r="H38" s="19">
        <v>41128</v>
      </c>
      <c r="I38" s="19">
        <v>41128</v>
      </c>
      <c r="M38" t="s">
        <v>142</v>
      </c>
      <c r="O38">
        <v>24</v>
      </c>
      <c r="T38" t="s">
        <v>67</v>
      </c>
      <c r="U38" t="s">
        <v>150</v>
      </c>
      <c r="V38" s="19">
        <v>43510</v>
      </c>
      <c r="W38" t="s">
        <v>137</v>
      </c>
      <c r="X38">
        <v>59</v>
      </c>
      <c r="Y38" s="19">
        <v>42626.967106481483</v>
      </c>
      <c r="Z38" s="19">
        <v>41128.835127314815</v>
      </c>
    </row>
    <row r="39" spans="1:26">
      <c r="A39" t="s">
        <v>133</v>
      </c>
      <c r="B39" t="s">
        <v>134</v>
      </c>
      <c r="C39">
        <v>201310</v>
      </c>
      <c r="D39">
        <v>900</v>
      </c>
      <c r="F39">
        <v>0</v>
      </c>
      <c r="G39" t="s">
        <v>135</v>
      </c>
      <c r="H39" s="19">
        <v>41128</v>
      </c>
      <c r="I39" s="19">
        <v>41128</v>
      </c>
      <c r="M39" t="s">
        <v>142</v>
      </c>
      <c r="O39">
        <v>23</v>
      </c>
      <c r="T39" t="s">
        <v>67</v>
      </c>
      <c r="U39" t="s">
        <v>150</v>
      </c>
      <c r="V39" s="19">
        <v>43510</v>
      </c>
      <c r="W39" t="s">
        <v>137</v>
      </c>
      <c r="X39">
        <v>59</v>
      </c>
      <c r="Y39" s="19">
        <v>42626.967106481483</v>
      </c>
      <c r="Z39" s="19">
        <v>41128.826631944445</v>
      </c>
    </row>
    <row r="40" spans="1:26">
      <c r="A40" t="s">
        <v>133</v>
      </c>
      <c r="B40" t="s">
        <v>134</v>
      </c>
      <c r="C40">
        <v>201310</v>
      </c>
      <c r="D40">
        <v>-900</v>
      </c>
      <c r="F40">
        <v>0</v>
      </c>
      <c r="G40" t="s">
        <v>135</v>
      </c>
      <c r="H40" s="19">
        <v>41128</v>
      </c>
      <c r="I40" s="19">
        <v>41128</v>
      </c>
      <c r="M40" t="s">
        <v>142</v>
      </c>
      <c r="O40">
        <v>22</v>
      </c>
      <c r="T40" t="s">
        <v>67</v>
      </c>
      <c r="U40" t="s">
        <v>149</v>
      </c>
      <c r="V40" s="19">
        <v>43510</v>
      </c>
      <c r="W40" t="s">
        <v>137</v>
      </c>
      <c r="X40">
        <v>59</v>
      </c>
      <c r="Y40" s="19">
        <v>42626.967106481483</v>
      </c>
      <c r="Z40" s="19">
        <v>41128.825428240743</v>
      </c>
    </row>
    <row r="41" spans="1:26">
      <c r="A41" t="s">
        <v>133</v>
      </c>
      <c r="B41" t="s">
        <v>134</v>
      </c>
      <c r="C41">
        <v>201310</v>
      </c>
      <c r="D41">
        <v>900</v>
      </c>
      <c r="F41">
        <v>0</v>
      </c>
      <c r="G41" t="s">
        <v>135</v>
      </c>
      <c r="H41" s="19">
        <v>41128</v>
      </c>
      <c r="I41" s="19">
        <v>41128</v>
      </c>
      <c r="M41" t="s">
        <v>142</v>
      </c>
      <c r="O41">
        <v>21</v>
      </c>
      <c r="T41" t="s">
        <v>67</v>
      </c>
      <c r="U41" t="s">
        <v>149</v>
      </c>
      <c r="V41" s="19">
        <v>43510</v>
      </c>
      <c r="W41" t="s">
        <v>137</v>
      </c>
      <c r="X41">
        <v>59</v>
      </c>
      <c r="Y41" s="19">
        <v>42626.967106481483</v>
      </c>
      <c r="Z41" s="19">
        <v>41128.824664351851</v>
      </c>
    </row>
    <row r="42" spans="1:26">
      <c r="A42" t="s">
        <v>133</v>
      </c>
      <c r="B42" t="s">
        <v>134</v>
      </c>
      <c r="C42">
        <v>201310</v>
      </c>
      <c r="D42">
        <v>900</v>
      </c>
      <c r="F42">
        <v>0</v>
      </c>
      <c r="G42" t="s">
        <v>135</v>
      </c>
      <c r="H42" s="19">
        <v>41128</v>
      </c>
      <c r="I42" s="19">
        <v>41128</v>
      </c>
      <c r="M42" t="s">
        <v>142</v>
      </c>
      <c r="O42">
        <v>20</v>
      </c>
      <c r="T42" t="s">
        <v>67</v>
      </c>
      <c r="U42" t="s">
        <v>149</v>
      </c>
      <c r="V42" s="19">
        <v>43510</v>
      </c>
      <c r="W42" t="s">
        <v>137</v>
      </c>
      <c r="X42">
        <v>59</v>
      </c>
      <c r="Y42" s="19">
        <v>42626.967106481483</v>
      </c>
      <c r="Z42" s="19">
        <v>41128.822071759256</v>
      </c>
    </row>
    <row r="43" spans="1:26">
      <c r="A43" t="s">
        <v>146</v>
      </c>
      <c r="B43" t="s">
        <v>147</v>
      </c>
      <c r="C43">
        <v>201310</v>
      </c>
      <c r="D43">
        <v>900</v>
      </c>
      <c r="F43">
        <v>0</v>
      </c>
      <c r="G43" t="s">
        <v>135</v>
      </c>
      <c r="H43" s="19">
        <v>41128</v>
      </c>
      <c r="I43" s="19">
        <v>41128</v>
      </c>
      <c r="M43" t="s">
        <v>142</v>
      </c>
      <c r="O43">
        <v>19</v>
      </c>
      <c r="T43" t="s">
        <v>67</v>
      </c>
      <c r="U43" t="s">
        <v>148</v>
      </c>
      <c r="V43" s="19">
        <v>43510</v>
      </c>
      <c r="W43" t="s">
        <v>137</v>
      </c>
      <c r="X43">
        <v>59</v>
      </c>
      <c r="Y43" s="19">
        <v>42626.967106481483</v>
      </c>
      <c r="Z43" s="19">
        <v>41128.816041666665</v>
      </c>
    </row>
    <row r="44" spans="1:26">
      <c r="A44" t="s">
        <v>146</v>
      </c>
      <c r="B44" t="s">
        <v>147</v>
      </c>
      <c r="C44">
        <v>201310</v>
      </c>
      <c r="D44">
        <v>-900</v>
      </c>
      <c r="F44">
        <v>0</v>
      </c>
      <c r="G44" t="s">
        <v>135</v>
      </c>
      <c r="H44" s="19">
        <v>41128</v>
      </c>
      <c r="I44" s="19">
        <v>41128</v>
      </c>
      <c r="M44" t="s">
        <v>142</v>
      </c>
      <c r="O44">
        <v>18</v>
      </c>
      <c r="T44" t="s">
        <v>67</v>
      </c>
      <c r="U44" t="s">
        <v>149</v>
      </c>
      <c r="V44" s="19">
        <v>43510</v>
      </c>
      <c r="W44" t="s">
        <v>137</v>
      </c>
      <c r="X44">
        <v>59</v>
      </c>
      <c r="Y44" s="19">
        <v>42626.967106481483</v>
      </c>
      <c r="Z44" s="19">
        <v>41128.81449074074</v>
      </c>
    </row>
    <row r="45" spans="1:26">
      <c r="A45" t="s">
        <v>133</v>
      </c>
      <c r="B45" t="s">
        <v>134</v>
      </c>
      <c r="C45">
        <v>201310</v>
      </c>
      <c r="D45">
        <v>900</v>
      </c>
      <c r="F45">
        <v>0</v>
      </c>
      <c r="G45" t="s">
        <v>135</v>
      </c>
      <c r="H45" s="19">
        <v>41128</v>
      </c>
      <c r="I45" s="19">
        <v>41128</v>
      </c>
      <c r="M45" t="s">
        <v>142</v>
      </c>
      <c r="O45">
        <v>17</v>
      </c>
      <c r="T45" t="s">
        <v>67</v>
      </c>
      <c r="U45" t="s">
        <v>148</v>
      </c>
      <c r="V45" s="19">
        <v>43510</v>
      </c>
      <c r="W45" t="s">
        <v>137</v>
      </c>
      <c r="X45">
        <v>59</v>
      </c>
      <c r="Y45" s="19">
        <v>42626.967106481483</v>
      </c>
      <c r="Z45" s="19">
        <v>41128.814328703702</v>
      </c>
    </row>
    <row r="46" spans="1:26">
      <c r="A46" t="s">
        <v>133</v>
      </c>
      <c r="B46" t="s">
        <v>134</v>
      </c>
      <c r="C46">
        <v>201310</v>
      </c>
      <c r="D46">
        <v>-900</v>
      </c>
      <c r="F46">
        <v>0</v>
      </c>
      <c r="G46" t="s">
        <v>135</v>
      </c>
      <c r="H46" s="19">
        <v>41128</v>
      </c>
      <c r="I46" s="19">
        <v>41128</v>
      </c>
      <c r="M46" t="s">
        <v>142</v>
      </c>
      <c r="O46">
        <v>16</v>
      </c>
      <c r="T46" t="s">
        <v>67</v>
      </c>
      <c r="U46" t="s">
        <v>148</v>
      </c>
      <c r="V46" s="19">
        <v>43510</v>
      </c>
      <c r="W46" t="s">
        <v>137</v>
      </c>
      <c r="X46">
        <v>59</v>
      </c>
      <c r="Y46" s="19">
        <v>42626.967106481483</v>
      </c>
      <c r="Z46" s="19">
        <v>41128.808506944442</v>
      </c>
    </row>
    <row r="47" spans="1:26">
      <c r="A47" t="s">
        <v>133</v>
      </c>
      <c r="B47" t="s">
        <v>134</v>
      </c>
      <c r="C47">
        <v>201310</v>
      </c>
      <c r="D47">
        <v>-900</v>
      </c>
      <c r="F47">
        <v>0</v>
      </c>
      <c r="G47" t="s">
        <v>135</v>
      </c>
      <c r="H47" s="19">
        <v>41128</v>
      </c>
      <c r="I47" s="19">
        <v>41128</v>
      </c>
      <c r="M47" t="s">
        <v>142</v>
      </c>
      <c r="O47">
        <v>15</v>
      </c>
      <c r="T47" t="s">
        <v>67</v>
      </c>
      <c r="U47" t="s">
        <v>150</v>
      </c>
      <c r="V47" s="19">
        <v>43510</v>
      </c>
      <c r="W47" t="s">
        <v>137</v>
      </c>
      <c r="X47">
        <v>59</v>
      </c>
      <c r="Y47" s="19">
        <v>42626.967106481483</v>
      </c>
      <c r="Z47" s="19">
        <v>41128.808368055557</v>
      </c>
    </row>
    <row r="48" spans="1:26">
      <c r="A48" t="s">
        <v>133</v>
      </c>
      <c r="B48" t="s">
        <v>134</v>
      </c>
      <c r="C48">
        <v>201310</v>
      </c>
      <c r="D48">
        <v>900</v>
      </c>
      <c r="F48">
        <v>0</v>
      </c>
      <c r="G48" t="s">
        <v>135</v>
      </c>
      <c r="H48" s="19">
        <v>41128</v>
      </c>
      <c r="I48" s="19">
        <v>41128</v>
      </c>
      <c r="M48" t="s">
        <v>142</v>
      </c>
      <c r="O48">
        <v>14</v>
      </c>
      <c r="T48" t="s">
        <v>67</v>
      </c>
      <c r="U48" t="s">
        <v>148</v>
      </c>
      <c r="V48" s="19">
        <v>43510</v>
      </c>
      <c r="W48" t="s">
        <v>137</v>
      </c>
      <c r="X48">
        <v>59</v>
      </c>
      <c r="Y48" s="19">
        <v>42626.967106481483</v>
      </c>
      <c r="Z48" s="19">
        <v>41128.788449074076</v>
      </c>
    </row>
    <row r="49" spans="1:26">
      <c r="A49" t="s">
        <v>133</v>
      </c>
      <c r="B49" t="s">
        <v>134</v>
      </c>
      <c r="C49">
        <v>201310</v>
      </c>
      <c r="D49">
        <v>900</v>
      </c>
      <c r="F49">
        <v>0</v>
      </c>
      <c r="G49" t="s">
        <v>135</v>
      </c>
      <c r="H49" s="19">
        <v>41127</v>
      </c>
      <c r="I49" s="19">
        <v>41127</v>
      </c>
      <c r="M49" t="s">
        <v>142</v>
      </c>
      <c r="O49">
        <v>13</v>
      </c>
      <c r="T49" t="s">
        <v>67</v>
      </c>
      <c r="U49" t="s">
        <v>151</v>
      </c>
      <c r="V49" s="19">
        <v>43510</v>
      </c>
      <c r="W49" t="s">
        <v>137</v>
      </c>
      <c r="X49">
        <v>59</v>
      </c>
      <c r="Y49" s="19">
        <v>42626.967106481483</v>
      </c>
      <c r="Z49" s="19">
        <v>41127.692627314813</v>
      </c>
    </row>
    <row r="50" spans="1:26">
      <c r="A50" t="s">
        <v>146</v>
      </c>
      <c r="B50" t="s">
        <v>147</v>
      </c>
      <c r="C50">
        <v>201310</v>
      </c>
      <c r="D50">
        <v>900</v>
      </c>
      <c r="F50">
        <v>0</v>
      </c>
      <c r="G50" t="s">
        <v>135</v>
      </c>
      <c r="H50" s="19">
        <v>41127</v>
      </c>
      <c r="I50" s="19">
        <v>41127</v>
      </c>
      <c r="M50" t="s">
        <v>142</v>
      </c>
      <c r="O50">
        <v>12</v>
      </c>
      <c r="T50" t="s">
        <v>67</v>
      </c>
      <c r="U50" t="s">
        <v>152</v>
      </c>
      <c r="V50" s="19">
        <v>43510</v>
      </c>
      <c r="W50" t="s">
        <v>137</v>
      </c>
      <c r="X50">
        <v>59</v>
      </c>
      <c r="Y50" s="19">
        <v>42626.967106481483</v>
      </c>
      <c r="Z50" s="19">
        <v>41127.688715277778</v>
      </c>
    </row>
    <row r="51" spans="1:26">
      <c r="A51" t="s">
        <v>133</v>
      </c>
      <c r="B51" t="s">
        <v>134</v>
      </c>
      <c r="C51">
        <v>201310</v>
      </c>
      <c r="D51">
        <v>-900</v>
      </c>
      <c r="F51">
        <v>0</v>
      </c>
      <c r="G51" t="s">
        <v>135</v>
      </c>
      <c r="H51" s="19">
        <v>41127</v>
      </c>
      <c r="I51" s="19">
        <v>41127</v>
      </c>
      <c r="M51" t="s">
        <v>142</v>
      </c>
      <c r="O51">
        <v>11</v>
      </c>
      <c r="T51" t="s">
        <v>67</v>
      </c>
      <c r="U51" t="s">
        <v>151</v>
      </c>
      <c r="V51" s="19">
        <v>43510</v>
      </c>
      <c r="W51" t="s">
        <v>137</v>
      </c>
      <c r="X51">
        <v>59</v>
      </c>
      <c r="Y51" s="19">
        <v>42626.967106481483</v>
      </c>
      <c r="Z51" s="19">
        <v>41127.676574074074</v>
      </c>
    </row>
    <row r="52" spans="1:26">
      <c r="A52" t="s">
        <v>133</v>
      </c>
      <c r="B52" t="s">
        <v>134</v>
      </c>
      <c r="C52">
        <v>201310</v>
      </c>
      <c r="D52">
        <v>-900</v>
      </c>
      <c r="F52">
        <v>0</v>
      </c>
      <c r="G52" t="s">
        <v>135</v>
      </c>
      <c r="H52" s="19">
        <v>41127</v>
      </c>
      <c r="I52" s="19">
        <v>41127</v>
      </c>
      <c r="M52" t="s">
        <v>142</v>
      </c>
      <c r="O52">
        <v>10</v>
      </c>
      <c r="T52" t="s">
        <v>67</v>
      </c>
      <c r="U52" t="s">
        <v>153</v>
      </c>
      <c r="V52" s="19">
        <v>43510</v>
      </c>
      <c r="W52" t="s">
        <v>137</v>
      </c>
      <c r="X52">
        <v>59</v>
      </c>
      <c r="Y52" s="19">
        <v>42626.967106481483</v>
      </c>
      <c r="Z52" s="19">
        <v>41127.673379629632</v>
      </c>
    </row>
    <row r="53" spans="1:26">
      <c r="A53" t="s">
        <v>133</v>
      </c>
      <c r="B53" t="s">
        <v>134</v>
      </c>
      <c r="C53">
        <v>201310</v>
      </c>
      <c r="D53">
        <v>900</v>
      </c>
      <c r="F53">
        <v>0</v>
      </c>
      <c r="G53" t="s">
        <v>135</v>
      </c>
      <c r="H53" s="19">
        <v>41127</v>
      </c>
      <c r="I53" s="19">
        <v>41127</v>
      </c>
      <c r="M53" t="s">
        <v>142</v>
      </c>
      <c r="O53">
        <v>9</v>
      </c>
      <c r="T53" t="s">
        <v>67</v>
      </c>
      <c r="U53" t="s">
        <v>153</v>
      </c>
      <c r="V53" s="19">
        <v>43510</v>
      </c>
      <c r="W53" t="s">
        <v>137</v>
      </c>
      <c r="X53">
        <v>59</v>
      </c>
      <c r="Y53" s="19">
        <v>42626.967106481483</v>
      </c>
      <c r="Z53" s="19">
        <v>41127.55673611111</v>
      </c>
    </row>
    <row r="54" spans="1:26">
      <c r="A54" t="s">
        <v>133</v>
      </c>
      <c r="B54" t="s">
        <v>134</v>
      </c>
      <c r="C54">
        <v>201310</v>
      </c>
      <c r="D54">
        <v>-900</v>
      </c>
      <c r="F54">
        <v>0</v>
      </c>
      <c r="G54" t="s">
        <v>135</v>
      </c>
      <c r="H54" s="19">
        <v>41127</v>
      </c>
      <c r="I54" s="19">
        <v>41127</v>
      </c>
      <c r="M54" t="s">
        <v>142</v>
      </c>
      <c r="O54">
        <v>8</v>
      </c>
      <c r="T54" t="s">
        <v>67</v>
      </c>
      <c r="U54" t="s">
        <v>154</v>
      </c>
      <c r="V54" s="19">
        <v>43510</v>
      </c>
      <c r="W54" t="s">
        <v>137</v>
      </c>
      <c r="X54">
        <v>59</v>
      </c>
      <c r="Y54" s="19">
        <v>42626.967106481483</v>
      </c>
      <c r="Z54" s="19">
        <v>41127.554236111115</v>
      </c>
    </row>
    <row r="55" spans="1:26">
      <c r="A55" t="s">
        <v>133</v>
      </c>
      <c r="B55" t="s">
        <v>134</v>
      </c>
      <c r="C55">
        <v>201310</v>
      </c>
      <c r="D55">
        <v>900</v>
      </c>
      <c r="F55">
        <v>0</v>
      </c>
      <c r="G55" t="s">
        <v>135</v>
      </c>
      <c r="H55" s="19">
        <v>41127</v>
      </c>
      <c r="I55" s="19">
        <v>41127</v>
      </c>
      <c r="M55" t="s">
        <v>142</v>
      </c>
      <c r="O55">
        <v>7</v>
      </c>
      <c r="T55" t="s">
        <v>67</v>
      </c>
      <c r="U55" t="s">
        <v>153</v>
      </c>
      <c r="V55" s="19">
        <v>43510</v>
      </c>
      <c r="W55" t="s">
        <v>137</v>
      </c>
      <c r="X55">
        <v>59</v>
      </c>
      <c r="Y55" s="19">
        <v>42626.967106481483</v>
      </c>
      <c r="Z55" s="19">
        <v>41127.553437499999</v>
      </c>
    </row>
    <row r="56" spans="1:26">
      <c r="A56" t="s">
        <v>133</v>
      </c>
      <c r="B56" t="s">
        <v>134</v>
      </c>
      <c r="C56">
        <v>201310</v>
      </c>
      <c r="D56">
        <v>900</v>
      </c>
      <c r="F56">
        <v>0</v>
      </c>
      <c r="G56" t="s">
        <v>135</v>
      </c>
      <c r="H56" s="19">
        <v>41127</v>
      </c>
      <c r="I56" s="19">
        <v>41127</v>
      </c>
      <c r="M56" t="s">
        <v>142</v>
      </c>
      <c r="O56">
        <v>6</v>
      </c>
      <c r="T56" t="s">
        <v>67</v>
      </c>
      <c r="U56" t="s">
        <v>154</v>
      </c>
      <c r="V56" s="19">
        <v>43510</v>
      </c>
      <c r="W56" t="s">
        <v>137</v>
      </c>
      <c r="X56">
        <v>59</v>
      </c>
      <c r="Y56" s="19">
        <v>42626.967106481483</v>
      </c>
      <c r="Z56" s="19">
        <v>41127.547546296293</v>
      </c>
    </row>
    <row r="57" spans="1:26">
      <c r="A57" t="s">
        <v>155</v>
      </c>
      <c r="B57" t="s">
        <v>156</v>
      </c>
      <c r="C57">
        <v>201310</v>
      </c>
      <c r="D57">
        <v>80</v>
      </c>
      <c r="F57">
        <v>0</v>
      </c>
      <c r="G57" t="s">
        <v>135</v>
      </c>
      <c r="H57" s="19">
        <v>41127</v>
      </c>
      <c r="I57" s="19">
        <v>41127</v>
      </c>
      <c r="M57" t="s">
        <v>142</v>
      </c>
      <c r="O57">
        <v>5</v>
      </c>
      <c r="T57" t="s">
        <v>67</v>
      </c>
      <c r="U57" t="s">
        <v>154</v>
      </c>
      <c r="V57" s="19">
        <v>43510</v>
      </c>
      <c r="W57" t="s">
        <v>137</v>
      </c>
      <c r="X57">
        <v>59</v>
      </c>
      <c r="Y57" s="19">
        <v>42626.967106481483</v>
      </c>
      <c r="Z57" s="19">
        <v>41127.547546296293</v>
      </c>
    </row>
    <row r="58" spans="1:26">
      <c r="A58" t="s">
        <v>157</v>
      </c>
      <c r="B58" t="s">
        <v>158</v>
      </c>
      <c r="C58">
        <v>201310</v>
      </c>
      <c r="D58">
        <v>100</v>
      </c>
      <c r="F58">
        <v>0</v>
      </c>
      <c r="G58" t="s">
        <v>135</v>
      </c>
      <c r="H58" s="19">
        <v>41127</v>
      </c>
      <c r="I58" s="19">
        <v>41127</v>
      </c>
      <c r="M58" t="s">
        <v>142</v>
      </c>
      <c r="O58">
        <v>4</v>
      </c>
      <c r="T58" t="s">
        <v>67</v>
      </c>
      <c r="U58" t="s">
        <v>154</v>
      </c>
      <c r="V58" s="19">
        <v>43510</v>
      </c>
      <c r="W58" t="s">
        <v>137</v>
      </c>
      <c r="X58">
        <v>59</v>
      </c>
      <c r="Y58" s="19">
        <v>42626.967106481483</v>
      </c>
      <c r="Z58" s="19">
        <v>41127.547546296293</v>
      </c>
    </row>
    <row r="59" spans="1:26">
      <c r="A59" t="s">
        <v>159</v>
      </c>
      <c r="B59" t="s">
        <v>160</v>
      </c>
      <c r="C59">
        <v>201310</v>
      </c>
      <c r="D59">
        <v>100</v>
      </c>
      <c r="F59">
        <v>0</v>
      </c>
      <c r="G59" t="s">
        <v>135</v>
      </c>
      <c r="H59" s="19">
        <v>41127</v>
      </c>
      <c r="I59" s="19">
        <v>41127</v>
      </c>
      <c r="M59" t="s">
        <v>142</v>
      </c>
      <c r="O59">
        <v>3</v>
      </c>
      <c r="T59" t="s">
        <v>67</v>
      </c>
      <c r="U59" t="s">
        <v>154</v>
      </c>
      <c r="V59" s="19">
        <v>43510</v>
      </c>
      <c r="W59" t="s">
        <v>137</v>
      </c>
      <c r="X59">
        <v>59</v>
      </c>
      <c r="Y59" s="19">
        <v>42626.967106481483</v>
      </c>
      <c r="Z59" s="19">
        <v>41127.547546296293</v>
      </c>
    </row>
    <row r="60" spans="1:26">
      <c r="A60" t="s">
        <v>161</v>
      </c>
      <c r="B60" t="s">
        <v>162</v>
      </c>
      <c r="C60">
        <v>201310</v>
      </c>
      <c r="D60">
        <v>100</v>
      </c>
      <c r="F60">
        <v>0</v>
      </c>
      <c r="G60" t="s">
        <v>135</v>
      </c>
      <c r="H60" s="19">
        <v>41127</v>
      </c>
      <c r="I60" s="19">
        <v>41127</v>
      </c>
      <c r="M60" t="s">
        <v>142</v>
      </c>
      <c r="O60">
        <v>2</v>
      </c>
      <c r="T60" t="s">
        <v>67</v>
      </c>
      <c r="U60" t="s">
        <v>154</v>
      </c>
      <c r="V60" s="19">
        <v>43510</v>
      </c>
      <c r="W60" t="s">
        <v>137</v>
      </c>
      <c r="X60">
        <v>59</v>
      </c>
      <c r="Y60" s="19">
        <v>42626.967106481483</v>
      </c>
      <c r="Z60" s="19">
        <v>41127.547546296293</v>
      </c>
    </row>
    <row r="61" spans="1:26">
      <c r="A61" t="s">
        <v>163</v>
      </c>
      <c r="B61" t="s">
        <v>164</v>
      </c>
      <c r="C61">
        <v>201310</v>
      </c>
      <c r="D61">
        <v>30</v>
      </c>
      <c r="F61">
        <v>0</v>
      </c>
      <c r="G61" t="s">
        <v>135</v>
      </c>
      <c r="H61" s="19">
        <v>41127</v>
      </c>
      <c r="I61" s="19">
        <v>41127</v>
      </c>
      <c r="M61" t="s">
        <v>142</v>
      </c>
      <c r="O61">
        <v>1</v>
      </c>
      <c r="T61" t="s">
        <v>67</v>
      </c>
      <c r="U61" t="s">
        <v>154</v>
      </c>
      <c r="V61" s="19">
        <v>43510</v>
      </c>
      <c r="W61" t="s">
        <v>137</v>
      </c>
      <c r="X61">
        <v>59</v>
      </c>
      <c r="Y61" s="19">
        <v>42626.967106481483</v>
      </c>
      <c r="Z61" s="19">
        <v>41127.547546296293</v>
      </c>
    </row>
    <row r="62" spans="1:26">
      <c r="A62" t="s">
        <v>115</v>
      </c>
      <c r="B62" t="s">
        <v>116</v>
      </c>
      <c r="C62">
        <v>201320</v>
      </c>
      <c r="E62">
        <v>2700</v>
      </c>
      <c r="F62">
        <v>0</v>
      </c>
      <c r="G62" t="s">
        <v>29</v>
      </c>
      <c r="H62" s="19">
        <v>44039.576215277775</v>
      </c>
      <c r="I62" s="19">
        <v>44039.576215277775</v>
      </c>
      <c r="O62">
        <v>255</v>
      </c>
      <c r="T62" t="s">
        <v>67</v>
      </c>
      <c r="U62" t="s">
        <v>165</v>
      </c>
      <c r="V62" s="19">
        <v>44046</v>
      </c>
      <c r="W62" t="s">
        <v>118</v>
      </c>
      <c r="X62">
        <v>5</v>
      </c>
      <c r="Y62" s="19">
        <v>44039.634409722225</v>
      </c>
      <c r="Z62" s="19">
        <v>44039.576215277775</v>
      </c>
    </row>
    <row r="63" spans="1:26">
      <c r="A63" t="s">
        <v>115</v>
      </c>
      <c r="B63" t="s">
        <v>116</v>
      </c>
      <c r="C63">
        <v>201320</v>
      </c>
      <c r="E63">
        <v>-2700</v>
      </c>
      <c r="F63">
        <v>0</v>
      </c>
      <c r="G63" t="s">
        <v>29</v>
      </c>
      <c r="H63" s="19">
        <v>44039.576215277775</v>
      </c>
      <c r="I63" s="19">
        <v>44039.576215277775</v>
      </c>
      <c r="O63">
        <v>254</v>
      </c>
      <c r="T63" t="s">
        <v>67</v>
      </c>
      <c r="U63" t="s">
        <v>165</v>
      </c>
      <c r="V63" s="19">
        <v>44046</v>
      </c>
      <c r="W63" t="s">
        <v>118</v>
      </c>
      <c r="X63">
        <v>5</v>
      </c>
      <c r="Y63" s="19">
        <v>44039.634409722225</v>
      </c>
      <c r="Z63" s="19">
        <v>44039.576215277775</v>
      </c>
    </row>
    <row r="64" spans="1:26">
      <c r="A64" t="s">
        <v>115</v>
      </c>
      <c r="B64" t="s">
        <v>119</v>
      </c>
      <c r="C64">
        <v>201320</v>
      </c>
      <c r="E64">
        <v>2700</v>
      </c>
      <c r="F64">
        <v>0</v>
      </c>
      <c r="G64" t="s">
        <v>29</v>
      </c>
      <c r="H64" s="19">
        <v>43192.364652777775</v>
      </c>
      <c r="I64" s="19">
        <v>43192.364652777775</v>
      </c>
      <c r="O64">
        <v>148</v>
      </c>
      <c r="T64" t="s">
        <v>67</v>
      </c>
      <c r="W64" t="s">
        <v>120</v>
      </c>
      <c r="X64">
        <v>2</v>
      </c>
      <c r="Y64" s="19">
        <v>43792.548981481479</v>
      </c>
      <c r="Z64" s="19">
        <v>43192.364652777775</v>
      </c>
    </row>
    <row r="65" spans="1:26">
      <c r="A65" t="s">
        <v>133</v>
      </c>
      <c r="B65" t="s">
        <v>134</v>
      </c>
      <c r="C65">
        <v>201320</v>
      </c>
      <c r="D65">
        <v>900</v>
      </c>
      <c r="F65">
        <v>0</v>
      </c>
      <c r="G65" t="s">
        <v>135</v>
      </c>
      <c r="H65" s="19">
        <v>41303.789942129632</v>
      </c>
      <c r="I65" s="19">
        <v>41303.789942129632</v>
      </c>
      <c r="O65">
        <v>65</v>
      </c>
      <c r="T65" t="s">
        <v>67</v>
      </c>
      <c r="U65" t="s">
        <v>166</v>
      </c>
      <c r="V65" s="19">
        <v>43510</v>
      </c>
      <c r="W65" t="s">
        <v>167</v>
      </c>
      <c r="X65">
        <v>47</v>
      </c>
      <c r="Y65" s="19">
        <v>42649.544953703706</v>
      </c>
      <c r="Z65" s="19">
        <v>41303.789942129632</v>
      </c>
    </row>
    <row r="66" spans="1:26">
      <c r="A66" t="s">
        <v>168</v>
      </c>
      <c r="B66" t="s">
        <v>169</v>
      </c>
      <c r="C66">
        <v>201320</v>
      </c>
      <c r="D66">
        <v>15</v>
      </c>
      <c r="F66">
        <v>0</v>
      </c>
      <c r="G66" t="s">
        <v>123</v>
      </c>
      <c r="H66" s="19">
        <v>41289</v>
      </c>
      <c r="I66" s="19">
        <v>41289</v>
      </c>
      <c r="L66">
        <v>228570</v>
      </c>
      <c r="O66">
        <v>64</v>
      </c>
      <c r="T66" t="s">
        <v>67</v>
      </c>
      <c r="U66" t="s">
        <v>170</v>
      </c>
      <c r="V66" s="19">
        <v>41290</v>
      </c>
      <c r="W66" t="s">
        <v>131</v>
      </c>
      <c r="X66">
        <v>625</v>
      </c>
      <c r="Y66" s="19">
        <v>41289.589421296296</v>
      </c>
      <c r="Z66" s="19">
        <v>41289.516064814816</v>
      </c>
    </row>
    <row r="67" spans="1:26">
      <c r="A67" t="s">
        <v>121</v>
      </c>
      <c r="B67" t="s">
        <v>122</v>
      </c>
      <c r="C67">
        <v>201320</v>
      </c>
      <c r="E67">
        <v>15</v>
      </c>
      <c r="F67">
        <v>0</v>
      </c>
      <c r="G67" t="s">
        <v>123</v>
      </c>
      <c r="H67" s="19">
        <v>41289</v>
      </c>
      <c r="I67" s="19">
        <v>41289</v>
      </c>
      <c r="L67">
        <v>228570</v>
      </c>
      <c r="O67">
        <v>63</v>
      </c>
      <c r="T67" t="s">
        <v>67</v>
      </c>
      <c r="U67" t="s">
        <v>170</v>
      </c>
      <c r="V67" s="19">
        <v>41290</v>
      </c>
      <c r="W67" t="s">
        <v>131</v>
      </c>
      <c r="X67">
        <v>625</v>
      </c>
      <c r="Y67" s="19">
        <v>41289.589421296296</v>
      </c>
      <c r="Z67" s="19">
        <v>41289.516030092593</v>
      </c>
    </row>
    <row r="68" spans="1:26">
      <c r="A68" t="s">
        <v>121</v>
      </c>
      <c r="B68" t="s">
        <v>122</v>
      </c>
      <c r="C68">
        <v>201320</v>
      </c>
      <c r="E68">
        <v>280</v>
      </c>
      <c r="F68">
        <v>0</v>
      </c>
      <c r="G68" t="s">
        <v>123</v>
      </c>
      <c r="H68" s="19">
        <v>41282</v>
      </c>
      <c r="I68" s="19">
        <v>41282</v>
      </c>
      <c r="L68">
        <v>224720</v>
      </c>
      <c r="O68">
        <v>62</v>
      </c>
      <c r="T68" t="s">
        <v>67</v>
      </c>
      <c r="U68" t="s">
        <v>171</v>
      </c>
      <c r="V68" s="19">
        <v>41283</v>
      </c>
      <c r="W68" t="s">
        <v>125</v>
      </c>
      <c r="X68">
        <v>1356</v>
      </c>
      <c r="Y68" s="19">
        <v>41282.59443287037</v>
      </c>
      <c r="Z68" s="19">
        <v>41282.436701388891</v>
      </c>
    </row>
    <row r="69" spans="1:26">
      <c r="A69" t="s">
        <v>133</v>
      </c>
      <c r="B69" t="s">
        <v>134</v>
      </c>
      <c r="C69">
        <v>201320</v>
      </c>
      <c r="D69">
        <v>900</v>
      </c>
      <c r="F69">
        <v>0</v>
      </c>
      <c r="G69" t="s">
        <v>135</v>
      </c>
      <c r="H69" s="19">
        <v>41282</v>
      </c>
      <c r="I69" s="19">
        <v>41282</v>
      </c>
      <c r="M69" t="s">
        <v>142</v>
      </c>
      <c r="O69">
        <v>61</v>
      </c>
      <c r="T69" t="s">
        <v>67</v>
      </c>
      <c r="U69" t="s">
        <v>172</v>
      </c>
      <c r="V69" s="19">
        <v>43510</v>
      </c>
      <c r="W69" t="s">
        <v>173</v>
      </c>
      <c r="X69">
        <v>1</v>
      </c>
      <c r="Y69" s="19">
        <v>41897.669317129628</v>
      </c>
      <c r="Z69" s="19">
        <v>41282.399756944447</v>
      </c>
    </row>
    <row r="70" spans="1:26">
      <c r="A70" t="s">
        <v>133</v>
      </c>
      <c r="B70" t="s">
        <v>134</v>
      </c>
      <c r="C70">
        <v>201320</v>
      </c>
      <c r="D70">
        <v>900</v>
      </c>
      <c r="F70">
        <v>0</v>
      </c>
      <c r="G70" t="s">
        <v>135</v>
      </c>
      <c r="H70" s="19">
        <v>41282</v>
      </c>
      <c r="I70" s="19">
        <v>41282</v>
      </c>
      <c r="M70" t="s">
        <v>142</v>
      </c>
      <c r="O70">
        <v>60</v>
      </c>
      <c r="T70" t="s">
        <v>67</v>
      </c>
      <c r="U70" t="s">
        <v>172</v>
      </c>
      <c r="V70" s="19">
        <v>43510</v>
      </c>
      <c r="W70" t="s">
        <v>173</v>
      </c>
      <c r="X70">
        <v>1</v>
      </c>
      <c r="Y70" s="19">
        <v>41897.669317129628</v>
      </c>
      <c r="Z70" s="19">
        <v>41282.399756944447</v>
      </c>
    </row>
    <row r="71" spans="1:26">
      <c r="A71" t="s">
        <v>155</v>
      </c>
      <c r="B71" t="s">
        <v>156</v>
      </c>
      <c r="C71">
        <v>201320</v>
      </c>
      <c r="D71">
        <v>80</v>
      </c>
      <c r="F71">
        <v>0</v>
      </c>
      <c r="G71" t="s">
        <v>135</v>
      </c>
      <c r="H71" s="19">
        <v>41282</v>
      </c>
      <c r="I71" s="19">
        <v>41282</v>
      </c>
      <c r="M71" t="s">
        <v>142</v>
      </c>
      <c r="O71">
        <v>59</v>
      </c>
      <c r="T71" t="s">
        <v>67</v>
      </c>
      <c r="U71" t="s">
        <v>172</v>
      </c>
      <c r="V71" s="19">
        <v>43510</v>
      </c>
      <c r="W71" t="s">
        <v>173</v>
      </c>
      <c r="X71">
        <v>1</v>
      </c>
      <c r="Y71" s="19">
        <v>41897.669317129628</v>
      </c>
      <c r="Z71" s="19">
        <v>41282.399756944447</v>
      </c>
    </row>
    <row r="72" spans="1:26">
      <c r="A72" t="s">
        <v>157</v>
      </c>
      <c r="B72" t="s">
        <v>158</v>
      </c>
      <c r="C72">
        <v>201320</v>
      </c>
      <c r="D72">
        <v>100</v>
      </c>
      <c r="F72">
        <v>0</v>
      </c>
      <c r="G72" t="s">
        <v>135</v>
      </c>
      <c r="H72" s="19">
        <v>41282</v>
      </c>
      <c r="I72" s="19">
        <v>41282</v>
      </c>
      <c r="M72" t="s">
        <v>142</v>
      </c>
      <c r="O72">
        <v>58</v>
      </c>
      <c r="T72" t="s">
        <v>67</v>
      </c>
      <c r="U72" t="s">
        <v>172</v>
      </c>
      <c r="V72" s="19">
        <v>43510</v>
      </c>
      <c r="W72" t="s">
        <v>173</v>
      </c>
      <c r="X72">
        <v>1</v>
      </c>
      <c r="Y72" s="19">
        <v>41897.669317129628</v>
      </c>
      <c r="Z72" s="19">
        <v>41282.399756944447</v>
      </c>
    </row>
    <row r="73" spans="1:26">
      <c r="A73" t="s">
        <v>161</v>
      </c>
      <c r="B73" t="s">
        <v>162</v>
      </c>
      <c r="C73">
        <v>201320</v>
      </c>
      <c r="D73">
        <v>100</v>
      </c>
      <c r="F73">
        <v>0</v>
      </c>
      <c r="G73" t="s">
        <v>135</v>
      </c>
      <c r="H73" s="19">
        <v>41282</v>
      </c>
      <c r="I73" s="19">
        <v>41282</v>
      </c>
      <c r="M73" t="s">
        <v>142</v>
      </c>
      <c r="O73">
        <v>57</v>
      </c>
      <c r="T73" t="s">
        <v>67</v>
      </c>
      <c r="U73" t="s">
        <v>172</v>
      </c>
      <c r="V73" s="19">
        <v>43510</v>
      </c>
      <c r="W73" t="s">
        <v>173</v>
      </c>
      <c r="X73">
        <v>1</v>
      </c>
      <c r="Y73" s="19">
        <v>41897.669317129628</v>
      </c>
      <c r="Z73" s="19">
        <v>41282.399756944447</v>
      </c>
    </row>
    <row r="74" spans="1:26">
      <c r="A74" t="s">
        <v>115</v>
      </c>
      <c r="B74" t="s">
        <v>116</v>
      </c>
      <c r="C74">
        <v>201330</v>
      </c>
      <c r="E74">
        <v>900</v>
      </c>
      <c r="F74">
        <v>0</v>
      </c>
      <c r="G74" t="s">
        <v>29</v>
      </c>
      <c r="H74" s="19">
        <v>44294.78466435185</v>
      </c>
      <c r="I74" s="19">
        <v>44294.78466435185</v>
      </c>
      <c r="O74">
        <v>270</v>
      </c>
      <c r="T74" t="s">
        <v>142</v>
      </c>
      <c r="W74" t="s">
        <v>118</v>
      </c>
      <c r="X74">
        <v>42</v>
      </c>
      <c r="Y74" s="19">
        <v>44294.785775462966</v>
      </c>
      <c r="Z74" s="19">
        <v>44294.78466435185</v>
      </c>
    </row>
    <row r="75" spans="1:26">
      <c r="A75" t="s">
        <v>121</v>
      </c>
      <c r="B75" t="s">
        <v>122</v>
      </c>
      <c r="C75">
        <v>201330</v>
      </c>
      <c r="E75">
        <v>394</v>
      </c>
      <c r="F75">
        <v>-394</v>
      </c>
      <c r="G75" t="s">
        <v>123</v>
      </c>
      <c r="H75" s="19">
        <v>41484</v>
      </c>
      <c r="I75" s="19">
        <v>41484</v>
      </c>
      <c r="L75">
        <v>253551</v>
      </c>
      <c r="O75">
        <v>72</v>
      </c>
      <c r="T75" t="s">
        <v>67</v>
      </c>
      <c r="U75" t="s">
        <v>174</v>
      </c>
      <c r="V75" s="19">
        <v>41486</v>
      </c>
      <c r="W75" t="s">
        <v>125</v>
      </c>
      <c r="X75">
        <v>1578</v>
      </c>
      <c r="Y75" s="19">
        <v>41484.587766203702</v>
      </c>
      <c r="Z75" s="19">
        <v>41484.498379629629</v>
      </c>
    </row>
    <row r="76" spans="1:26">
      <c r="A76" t="s">
        <v>121</v>
      </c>
      <c r="B76" t="s">
        <v>122</v>
      </c>
      <c r="C76">
        <v>201330</v>
      </c>
      <c r="E76">
        <v>393</v>
      </c>
      <c r="F76">
        <v>-393</v>
      </c>
      <c r="G76" t="s">
        <v>123</v>
      </c>
      <c r="H76" s="19">
        <v>41464</v>
      </c>
      <c r="I76" s="19">
        <v>41464</v>
      </c>
      <c r="L76">
        <v>252187</v>
      </c>
      <c r="O76">
        <v>71</v>
      </c>
      <c r="T76" t="s">
        <v>67</v>
      </c>
      <c r="U76" t="s">
        <v>175</v>
      </c>
      <c r="V76" s="19">
        <v>41465</v>
      </c>
      <c r="W76" t="s">
        <v>131</v>
      </c>
      <c r="X76">
        <v>835</v>
      </c>
      <c r="Y76" s="19">
        <v>41464.582638888889</v>
      </c>
      <c r="Z76" s="19">
        <v>41464.451840277776</v>
      </c>
    </row>
    <row r="77" spans="1:26">
      <c r="A77" t="s">
        <v>121</v>
      </c>
      <c r="B77" t="s">
        <v>122</v>
      </c>
      <c r="C77">
        <v>201330</v>
      </c>
      <c r="E77">
        <v>393</v>
      </c>
      <c r="F77">
        <v>-113</v>
      </c>
      <c r="G77" t="s">
        <v>123</v>
      </c>
      <c r="H77" s="19">
        <v>41423</v>
      </c>
      <c r="I77" s="19">
        <v>41423</v>
      </c>
      <c r="L77">
        <v>246342</v>
      </c>
      <c r="O77">
        <v>70</v>
      </c>
      <c r="T77" t="s">
        <v>67</v>
      </c>
      <c r="U77" t="s">
        <v>176</v>
      </c>
      <c r="V77" s="19">
        <v>41435</v>
      </c>
      <c r="W77" t="s">
        <v>131</v>
      </c>
      <c r="X77">
        <v>788</v>
      </c>
      <c r="Y77" s="19">
        <v>41423.575231481482</v>
      </c>
      <c r="Z77" s="19">
        <v>41423.495694444442</v>
      </c>
    </row>
    <row r="78" spans="1:26">
      <c r="A78" t="s">
        <v>177</v>
      </c>
      <c r="B78" t="s">
        <v>178</v>
      </c>
      <c r="C78">
        <v>201330</v>
      </c>
      <c r="D78">
        <v>900</v>
      </c>
      <c r="F78">
        <v>0</v>
      </c>
      <c r="G78" t="s">
        <v>135</v>
      </c>
      <c r="H78" s="19">
        <v>41422</v>
      </c>
      <c r="I78" s="19">
        <v>41422</v>
      </c>
      <c r="M78" t="s">
        <v>142</v>
      </c>
      <c r="O78">
        <v>69</v>
      </c>
      <c r="T78" t="s">
        <v>67</v>
      </c>
      <c r="U78" t="s">
        <v>179</v>
      </c>
      <c r="V78" s="19">
        <v>43510</v>
      </c>
      <c r="W78" t="s">
        <v>180</v>
      </c>
      <c r="X78">
        <v>1</v>
      </c>
      <c r="Y78" s="19">
        <v>41501.780636574076</v>
      </c>
      <c r="Z78" s="19">
        <v>41422.597372685188</v>
      </c>
    </row>
    <row r="79" spans="1:26">
      <c r="A79" t="s">
        <v>155</v>
      </c>
      <c r="B79" t="s">
        <v>156</v>
      </c>
      <c r="C79">
        <v>201330</v>
      </c>
      <c r="D79">
        <v>80</v>
      </c>
      <c r="F79">
        <v>0</v>
      </c>
      <c r="G79" t="s">
        <v>135</v>
      </c>
      <c r="H79" s="19">
        <v>41422</v>
      </c>
      <c r="I79" s="19">
        <v>41422</v>
      </c>
      <c r="M79" t="s">
        <v>142</v>
      </c>
      <c r="O79">
        <v>68</v>
      </c>
      <c r="T79" t="s">
        <v>67</v>
      </c>
      <c r="U79" t="s">
        <v>179</v>
      </c>
      <c r="V79" s="19">
        <v>43510</v>
      </c>
      <c r="W79" t="s">
        <v>180</v>
      </c>
      <c r="X79">
        <v>1</v>
      </c>
      <c r="Y79" s="19">
        <v>41501.780636574076</v>
      </c>
      <c r="Z79" s="19">
        <v>41422.597372685188</v>
      </c>
    </row>
    <row r="80" spans="1:26">
      <c r="A80" t="s">
        <v>157</v>
      </c>
      <c r="B80" t="s">
        <v>158</v>
      </c>
      <c r="C80">
        <v>201330</v>
      </c>
      <c r="D80">
        <v>100</v>
      </c>
      <c r="F80">
        <v>0</v>
      </c>
      <c r="G80" t="s">
        <v>135</v>
      </c>
      <c r="H80" s="19">
        <v>41422</v>
      </c>
      <c r="I80" s="19">
        <v>41422</v>
      </c>
      <c r="M80" t="s">
        <v>142</v>
      </c>
      <c r="O80">
        <v>67</v>
      </c>
      <c r="T80" t="s">
        <v>67</v>
      </c>
      <c r="U80" t="s">
        <v>179</v>
      </c>
      <c r="V80" s="19">
        <v>43510</v>
      </c>
      <c r="W80" t="s">
        <v>180</v>
      </c>
      <c r="X80">
        <v>1</v>
      </c>
      <c r="Y80" s="19">
        <v>41501.780636574076</v>
      </c>
      <c r="Z80" s="19">
        <v>41422.597372685188</v>
      </c>
    </row>
    <row r="81" spans="1:26">
      <c r="A81" t="s">
        <v>161</v>
      </c>
      <c r="B81" t="s">
        <v>162</v>
      </c>
      <c r="C81">
        <v>201330</v>
      </c>
      <c r="D81">
        <v>100</v>
      </c>
      <c r="F81">
        <v>0</v>
      </c>
      <c r="G81" t="s">
        <v>135</v>
      </c>
      <c r="H81" s="19">
        <v>41422</v>
      </c>
      <c r="I81" s="19">
        <v>41422</v>
      </c>
      <c r="M81" t="s">
        <v>142</v>
      </c>
      <c r="O81">
        <v>66</v>
      </c>
      <c r="T81" t="s">
        <v>67</v>
      </c>
      <c r="U81" t="s">
        <v>179</v>
      </c>
      <c r="V81" s="19">
        <v>43510</v>
      </c>
      <c r="W81" t="s">
        <v>180</v>
      </c>
      <c r="X81">
        <v>1</v>
      </c>
      <c r="Y81" s="19">
        <v>41501.780636574076</v>
      </c>
      <c r="Z81" s="19">
        <v>41422.597372685188</v>
      </c>
    </row>
    <row r="82" spans="1:26">
      <c r="A82" t="s">
        <v>133</v>
      </c>
      <c r="B82" t="s">
        <v>134</v>
      </c>
      <c r="C82">
        <v>201410</v>
      </c>
      <c r="D82">
        <v>900</v>
      </c>
      <c r="F82">
        <v>0</v>
      </c>
      <c r="G82" t="s">
        <v>135</v>
      </c>
      <c r="H82" s="19">
        <v>43523.525740740741</v>
      </c>
      <c r="I82" s="19">
        <v>43523.525740740741</v>
      </c>
      <c r="O82">
        <v>217</v>
      </c>
      <c r="T82" t="s">
        <v>142</v>
      </c>
      <c r="W82" t="s">
        <v>181</v>
      </c>
      <c r="X82">
        <v>3</v>
      </c>
      <c r="Y82" s="19">
        <v>43524.426249999997</v>
      </c>
      <c r="Z82" s="19">
        <v>43523.525740740741</v>
      </c>
    </row>
    <row r="83" spans="1:26">
      <c r="A83" t="s">
        <v>157</v>
      </c>
      <c r="B83" t="s">
        <v>158</v>
      </c>
      <c r="C83">
        <v>201410</v>
      </c>
      <c r="D83">
        <v>100</v>
      </c>
      <c r="F83">
        <v>0</v>
      </c>
      <c r="G83" t="s">
        <v>135</v>
      </c>
      <c r="H83" s="19">
        <v>43523.525740740741</v>
      </c>
      <c r="I83" s="19">
        <v>43523.525740740741</v>
      </c>
      <c r="O83">
        <v>216</v>
      </c>
      <c r="T83" t="s">
        <v>142</v>
      </c>
      <c r="W83" t="s">
        <v>181</v>
      </c>
      <c r="X83">
        <v>3</v>
      </c>
      <c r="Y83" s="19">
        <v>43524.426249999997</v>
      </c>
      <c r="Z83" s="19">
        <v>43523.525740740741</v>
      </c>
    </row>
    <row r="84" spans="1:26">
      <c r="A84" t="s">
        <v>155</v>
      </c>
      <c r="B84" t="s">
        <v>156</v>
      </c>
      <c r="C84">
        <v>201410</v>
      </c>
      <c r="D84">
        <v>80</v>
      </c>
      <c r="F84">
        <v>0</v>
      </c>
      <c r="G84" t="s">
        <v>135</v>
      </c>
      <c r="H84" s="19">
        <v>43523.525740740741</v>
      </c>
      <c r="I84" s="19">
        <v>43523.525740740741</v>
      </c>
      <c r="O84">
        <v>215</v>
      </c>
      <c r="T84" t="s">
        <v>142</v>
      </c>
      <c r="W84" t="s">
        <v>181</v>
      </c>
      <c r="X84">
        <v>3</v>
      </c>
      <c r="Y84" s="19">
        <v>43524.426249999997</v>
      </c>
      <c r="Z84" s="19">
        <v>43523.525740740741</v>
      </c>
    </row>
    <row r="85" spans="1:26">
      <c r="A85" t="s">
        <v>159</v>
      </c>
      <c r="B85" t="s">
        <v>160</v>
      </c>
      <c r="C85">
        <v>201410</v>
      </c>
      <c r="D85">
        <v>100</v>
      </c>
      <c r="F85">
        <v>0</v>
      </c>
      <c r="G85" t="s">
        <v>135</v>
      </c>
      <c r="H85" s="19">
        <v>43523.525740740741</v>
      </c>
      <c r="I85" s="19">
        <v>43523.525740740741</v>
      </c>
      <c r="O85">
        <v>214</v>
      </c>
      <c r="T85" t="s">
        <v>142</v>
      </c>
      <c r="W85" t="s">
        <v>181</v>
      </c>
      <c r="X85">
        <v>3</v>
      </c>
      <c r="Y85" s="19">
        <v>43524.426249999997</v>
      </c>
      <c r="Z85" s="19">
        <v>43523.525740740741</v>
      </c>
    </row>
    <row r="86" spans="1:26">
      <c r="A86" t="s">
        <v>161</v>
      </c>
      <c r="B86" t="s">
        <v>162</v>
      </c>
      <c r="C86">
        <v>201410</v>
      </c>
      <c r="D86">
        <v>100</v>
      </c>
      <c r="F86">
        <v>0</v>
      </c>
      <c r="G86" t="s">
        <v>135</v>
      </c>
      <c r="H86" s="19">
        <v>43523.525740740741</v>
      </c>
      <c r="I86" s="19">
        <v>43523.525740740741</v>
      </c>
      <c r="O86">
        <v>213</v>
      </c>
      <c r="T86" t="s">
        <v>142</v>
      </c>
      <c r="W86" t="s">
        <v>181</v>
      </c>
      <c r="X86">
        <v>3</v>
      </c>
      <c r="Y86" s="19">
        <v>43524.426249999997</v>
      </c>
      <c r="Z86" s="19">
        <v>43523.525740740741</v>
      </c>
    </row>
    <row r="87" spans="1:26">
      <c r="A87" t="s">
        <v>163</v>
      </c>
      <c r="B87" t="s">
        <v>164</v>
      </c>
      <c r="C87">
        <v>201410</v>
      </c>
      <c r="D87">
        <v>30</v>
      </c>
      <c r="F87">
        <v>0</v>
      </c>
      <c r="G87" t="s">
        <v>135</v>
      </c>
      <c r="H87" s="19">
        <v>43523.525740740741</v>
      </c>
      <c r="I87" s="19">
        <v>43523.525740740741</v>
      </c>
      <c r="O87">
        <v>212</v>
      </c>
      <c r="T87" t="s">
        <v>142</v>
      </c>
      <c r="W87" t="s">
        <v>181</v>
      </c>
      <c r="X87">
        <v>3</v>
      </c>
      <c r="Y87" s="19">
        <v>43524.426249999997</v>
      </c>
      <c r="Z87" s="19">
        <v>43523.525740740741</v>
      </c>
    </row>
    <row r="88" spans="1:26">
      <c r="A88" t="s">
        <v>133</v>
      </c>
      <c r="B88" t="s">
        <v>134</v>
      </c>
      <c r="C88">
        <v>201410</v>
      </c>
      <c r="D88">
        <v>-900</v>
      </c>
      <c r="F88">
        <v>0</v>
      </c>
      <c r="G88" t="s">
        <v>135</v>
      </c>
      <c r="H88" s="19">
        <v>43521.65829861111</v>
      </c>
      <c r="I88" s="19">
        <v>43521.65829861111</v>
      </c>
      <c r="O88">
        <v>211</v>
      </c>
      <c r="T88" t="s">
        <v>142</v>
      </c>
      <c r="W88" t="s">
        <v>181</v>
      </c>
      <c r="X88">
        <v>1</v>
      </c>
      <c r="Y88" s="19">
        <v>43521.667592592596</v>
      </c>
      <c r="Z88" s="19">
        <v>43521.65829861111</v>
      </c>
    </row>
    <row r="89" spans="1:26">
      <c r="A89" t="s">
        <v>157</v>
      </c>
      <c r="B89" t="s">
        <v>158</v>
      </c>
      <c r="C89">
        <v>201410</v>
      </c>
      <c r="D89">
        <v>-100</v>
      </c>
      <c r="F89">
        <v>0</v>
      </c>
      <c r="G89" t="s">
        <v>135</v>
      </c>
      <c r="H89" s="19">
        <v>43521.65829861111</v>
      </c>
      <c r="I89" s="19">
        <v>43521.65829861111</v>
      </c>
      <c r="O89">
        <v>210</v>
      </c>
      <c r="T89" t="s">
        <v>142</v>
      </c>
      <c r="W89" t="s">
        <v>181</v>
      </c>
      <c r="X89">
        <v>1</v>
      </c>
      <c r="Y89" s="19">
        <v>43521.667592592596</v>
      </c>
      <c r="Z89" s="19">
        <v>43521.65829861111</v>
      </c>
    </row>
    <row r="90" spans="1:26">
      <c r="A90" t="s">
        <v>155</v>
      </c>
      <c r="B90" t="s">
        <v>156</v>
      </c>
      <c r="C90">
        <v>201410</v>
      </c>
      <c r="D90">
        <v>-80</v>
      </c>
      <c r="F90">
        <v>0</v>
      </c>
      <c r="G90" t="s">
        <v>135</v>
      </c>
      <c r="H90" s="19">
        <v>43521.65829861111</v>
      </c>
      <c r="I90" s="19">
        <v>43521.65829861111</v>
      </c>
      <c r="O90">
        <v>209</v>
      </c>
      <c r="T90" t="s">
        <v>142</v>
      </c>
      <c r="W90" t="s">
        <v>181</v>
      </c>
      <c r="X90">
        <v>1</v>
      </c>
      <c r="Y90" s="19">
        <v>43521.667592592596</v>
      </c>
      <c r="Z90" s="19">
        <v>43521.65829861111</v>
      </c>
    </row>
    <row r="91" spans="1:26">
      <c r="A91" t="s">
        <v>159</v>
      </c>
      <c r="B91" t="s">
        <v>160</v>
      </c>
      <c r="C91">
        <v>201410</v>
      </c>
      <c r="D91">
        <v>-100</v>
      </c>
      <c r="F91">
        <v>0</v>
      </c>
      <c r="G91" t="s">
        <v>135</v>
      </c>
      <c r="H91" s="19">
        <v>43521.65829861111</v>
      </c>
      <c r="I91" s="19">
        <v>43521.65829861111</v>
      </c>
      <c r="O91">
        <v>208</v>
      </c>
      <c r="T91" t="s">
        <v>142</v>
      </c>
      <c r="W91" t="s">
        <v>181</v>
      </c>
      <c r="X91">
        <v>1</v>
      </c>
      <c r="Y91" s="19">
        <v>43521.667592592596</v>
      </c>
      <c r="Z91" s="19">
        <v>43521.65829861111</v>
      </c>
    </row>
    <row r="92" spans="1:26">
      <c r="A92" t="s">
        <v>161</v>
      </c>
      <c r="B92" t="s">
        <v>162</v>
      </c>
      <c r="C92">
        <v>201410</v>
      </c>
      <c r="D92">
        <v>-100</v>
      </c>
      <c r="F92">
        <v>0</v>
      </c>
      <c r="G92" t="s">
        <v>135</v>
      </c>
      <c r="H92" s="19">
        <v>43521.65829861111</v>
      </c>
      <c r="I92" s="19">
        <v>43521.65829861111</v>
      </c>
      <c r="O92">
        <v>207</v>
      </c>
      <c r="T92" t="s">
        <v>142</v>
      </c>
      <c r="W92" t="s">
        <v>181</v>
      </c>
      <c r="X92">
        <v>1</v>
      </c>
      <c r="Y92" s="19">
        <v>43521.667592592596</v>
      </c>
      <c r="Z92" s="19">
        <v>43521.65829861111</v>
      </c>
    </row>
    <row r="93" spans="1:26">
      <c r="A93" t="s">
        <v>163</v>
      </c>
      <c r="B93" t="s">
        <v>164</v>
      </c>
      <c r="C93">
        <v>201410</v>
      </c>
      <c r="D93">
        <v>-30</v>
      </c>
      <c r="F93">
        <v>0</v>
      </c>
      <c r="G93" t="s">
        <v>135</v>
      </c>
      <c r="H93" s="19">
        <v>43521.65829861111</v>
      </c>
      <c r="I93" s="19">
        <v>43521.65829861111</v>
      </c>
      <c r="O93">
        <v>206</v>
      </c>
      <c r="T93" t="s">
        <v>142</v>
      </c>
      <c r="W93" t="s">
        <v>181</v>
      </c>
      <c r="X93">
        <v>1</v>
      </c>
      <c r="Y93" s="19">
        <v>43521.667592592596</v>
      </c>
      <c r="Z93" s="19">
        <v>43521.65829861111</v>
      </c>
    </row>
    <row r="94" spans="1:26">
      <c r="A94" t="s">
        <v>182</v>
      </c>
      <c r="B94" t="s">
        <v>183</v>
      </c>
      <c r="C94">
        <v>201410</v>
      </c>
      <c r="D94">
        <v>900</v>
      </c>
      <c r="F94">
        <v>0</v>
      </c>
      <c r="G94" t="s">
        <v>123</v>
      </c>
      <c r="H94" s="19">
        <v>42172</v>
      </c>
      <c r="I94" s="19">
        <v>42172</v>
      </c>
      <c r="O94">
        <v>86</v>
      </c>
      <c r="T94" t="s">
        <v>67</v>
      </c>
      <c r="U94" t="s">
        <v>184</v>
      </c>
      <c r="V94" s="19">
        <v>42179</v>
      </c>
      <c r="W94" t="s">
        <v>125</v>
      </c>
      <c r="X94">
        <v>2301</v>
      </c>
      <c r="Y94" s="19">
        <v>42172.593726851854</v>
      </c>
      <c r="Z94" s="19">
        <v>42172.37537037037</v>
      </c>
    </row>
    <row r="95" spans="1:26">
      <c r="A95" t="s">
        <v>133</v>
      </c>
      <c r="B95" t="s">
        <v>134</v>
      </c>
      <c r="C95">
        <v>201410</v>
      </c>
      <c r="D95">
        <v>-900</v>
      </c>
      <c r="F95">
        <v>0</v>
      </c>
      <c r="G95" t="s">
        <v>123</v>
      </c>
      <c r="H95" s="19">
        <v>42172</v>
      </c>
      <c r="I95" s="19">
        <v>42172</v>
      </c>
      <c r="O95">
        <v>85</v>
      </c>
      <c r="T95" t="s">
        <v>67</v>
      </c>
      <c r="U95" t="s">
        <v>184</v>
      </c>
      <c r="V95" s="19">
        <v>42179</v>
      </c>
      <c r="W95" t="s">
        <v>125</v>
      </c>
      <c r="X95">
        <v>2301</v>
      </c>
      <c r="Y95" s="19">
        <v>42172.593726851854</v>
      </c>
      <c r="Z95" s="19">
        <v>42172.375300925924</v>
      </c>
    </row>
    <row r="96" spans="1:26">
      <c r="A96" t="s">
        <v>185</v>
      </c>
      <c r="B96" t="s">
        <v>186</v>
      </c>
      <c r="C96">
        <v>201410</v>
      </c>
      <c r="D96">
        <v>50</v>
      </c>
      <c r="F96">
        <v>0</v>
      </c>
      <c r="G96" t="s">
        <v>123</v>
      </c>
      <c r="H96" s="19">
        <v>41956</v>
      </c>
      <c r="I96" s="19">
        <v>41956</v>
      </c>
      <c r="L96">
        <v>312141</v>
      </c>
      <c r="O96">
        <v>82</v>
      </c>
      <c r="T96" t="s">
        <v>67</v>
      </c>
      <c r="U96" t="s">
        <v>187</v>
      </c>
      <c r="V96" s="19">
        <v>41960</v>
      </c>
      <c r="W96" t="s">
        <v>125</v>
      </c>
      <c r="X96">
        <v>2155</v>
      </c>
      <c r="Y96" s="19">
        <v>41956.587129629632</v>
      </c>
      <c r="Z96" s="19">
        <v>41956.539293981485</v>
      </c>
    </row>
    <row r="97" spans="1:26">
      <c r="A97" t="s">
        <v>121</v>
      </c>
      <c r="B97" t="s">
        <v>122</v>
      </c>
      <c r="C97">
        <v>201410</v>
      </c>
      <c r="E97">
        <v>705</v>
      </c>
      <c r="F97">
        <v>0</v>
      </c>
      <c r="G97" t="s">
        <v>123</v>
      </c>
      <c r="H97" s="19">
        <v>41956</v>
      </c>
      <c r="I97" s="19">
        <v>41956</v>
      </c>
      <c r="L97">
        <v>312141</v>
      </c>
      <c r="O97">
        <v>81</v>
      </c>
      <c r="T97" t="s">
        <v>67</v>
      </c>
      <c r="U97" t="s">
        <v>187</v>
      </c>
      <c r="V97" s="19">
        <v>41960</v>
      </c>
      <c r="W97" t="s">
        <v>125</v>
      </c>
      <c r="X97">
        <v>2155</v>
      </c>
      <c r="Y97" s="19">
        <v>41956.587129629632</v>
      </c>
      <c r="Z97" s="19">
        <v>41956.538935185185</v>
      </c>
    </row>
    <row r="98" spans="1:26">
      <c r="A98" t="s">
        <v>121</v>
      </c>
      <c r="B98" t="s">
        <v>122</v>
      </c>
      <c r="C98">
        <v>201410</v>
      </c>
      <c r="E98">
        <v>327.5</v>
      </c>
      <c r="F98">
        <v>0</v>
      </c>
      <c r="G98" t="s">
        <v>123</v>
      </c>
      <c r="H98" s="19">
        <v>41528</v>
      </c>
      <c r="I98" s="19">
        <v>41528</v>
      </c>
      <c r="L98">
        <v>262456</v>
      </c>
      <c r="O98">
        <v>80</v>
      </c>
      <c r="T98" t="s">
        <v>67</v>
      </c>
      <c r="U98" t="s">
        <v>188</v>
      </c>
      <c r="V98" s="19">
        <v>41529</v>
      </c>
      <c r="W98" t="s">
        <v>125</v>
      </c>
      <c r="X98">
        <v>1639</v>
      </c>
      <c r="Y98" s="19">
        <v>41528.582002314812</v>
      </c>
      <c r="Z98" s="19">
        <v>41528.566747685189</v>
      </c>
    </row>
    <row r="99" spans="1:26">
      <c r="A99" t="s">
        <v>121</v>
      </c>
      <c r="B99" t="s">
        <v>122</v>
      </c>
      <c r="C99">
        <v>201410</v>
      </c>
      <c r="E99">
        <v>327.5</v>
      </c>
      <c r="F99">
        <v>0</v>
      </c>
      <c r="G99" t="s">
        <v>123</v>
      </c>
      <c r="H99" s="19">
        <v>41499</v>
      </c>
      <c r="I99" s="19">
        <v>41499</v>
      </c>
      <c r="L99">
        <v>255525</v>
      </c>
      <c r="O99">
        <v>79</v>
      </c>
      <c r="T99" t="s">
        <v>67</v>
      </c>
      <c r="U99" t="s">
        <v>189</v>
      </c>
      <c r="V99" s="19">
        <v>41500</v>
      </c>
      <c r="W99" t="s">
        <v>131</v>
      </c>
      <c r="X99">
        <v>859</v>
      </c>
      <c r="Y99" s="19">
        <v>41499.669641203705</v>
      </c>
      <c r="Z99" s="19">
        <v>41499.592835648145</v>
      </c>
    </row>
    <row r="100" spans="1:26">
      <c r="A100" t="s">
        <v>133</v>
      </c>
      <c r="B100" t="s">
        <v>134</v>
      </c>
      <c r="C100">
        <v>201410</v>
      </c>
      <c r="D100">
        <v>900</v>
      </c>
      <c r="F100">
        <v>0</v>
      </c>
      <c r="G100" t="s">
        <v>135</v>
      </c>
      <c r="H100" s="19">
        <v>41499</v>
      </c>
      <c r="I100" s="19">
        <v>41499</v>
      </c>
      <c r="M100" t="s">
        <v>142</v>
      </c>
      <c r="O100">
        <v>78</v>
      </c>
      <c r="T100" t="s">
        <v>67</v>
      </c>
      <c r="U100" t="s">
        <v>190</v>
      </c>
      <c r="V100" s="19">
        <v>43510</v>
      </c>
      <c r="W100" t="s">
        <v>191</v>
      </c>
      <c r="X100">
        <v>2</v>
      </c>
      <c r="Y100" s="19">
        <v>42611.73505787037</v>
      </c>
      <c r="Z100" s="19">
        <v>41499.527071759258</v>
      </c>
    </row>
    <row r="101" spans="1:26">
      <c r="A101" t="s">
        <v>155</v>
      </c>
      <c r="B101" t="s">
        <v>156</v>
      </c>
      <c r="C101">
        <v>201410</v>
      </c>
      <c r="D101">
        <v>80</v>
      </c>
      <c r="F101">
        <v>0</v>
      </c>
      <c r="G101" t="s">
        <v>135</v>
      </c>
      <c r="H101" s="19">
        <v>41499</v>
      </c>
      <c r="I101" s="19">
        <v>41499</v>
      </c>
      <c r="M101" t="s">
        <v>142</v>
      </c>
      <c r="O101">
        <v>77</v>
      </c>
      <c r="T101" t="s">
        <v>67</v>
      </c>
      <c r="U101" t="s">
        <v>190</v>
      </c>
      <c r="V101" s="19">
        <v>43510</v>
      </c>
      <c r="W101" t="s">
        <v>191</v>
      </c>
      <c r="X101">
        <v>2</v>
      </c>
      <c r="Y101" s="19">
        <v>42611.73505787037</v>
      </c>
      <c r="Z101" s="19">
        <v>41499.527071759258</v>
      </c>
    </row>
    <row r="102" spans="1:26">
      <c r="A102" t="s">
        <v>157</v>
      </c>
      <c r="B102" t="s">
        <v>158</v>
      </c>
      <c r="C102">
        <v>201410</v>
      </c>
      <c r="D102">
        <v>100</v>
      </c>
      <c r="F102">
        <v>0</v>
      </c>
      <c r="G102" t="s">
        <v>135</v>
      </c>
      <c r="H102" s="19">
        <v>41499</v>
      </c>
      <c r="I102" s="19">
        <v>41499</v>
      </c>
      <c r="M102" t="s">
        <v>142</v>
      </c>
      <c r="O102">
        <v>76</v>
      </c>
      <c r="T102" t="s">
        <v>67</v>
      </c>
      <c r="U102" t="s">
        <v>190</v>
      </c>
      <c r="V102" s="19">
        <v>43510</v>
      </c>
      <c r="W102" t="s">
        <v>191</v>
      </c>
      <c r="X102">
        <v>2</v>
      </c>
      <c r="Y102" s="19">
        <v>42611.73505787037</v>
      </c>
      <c r="Z102" s="19">
        <v>41499.527071759258</v>
      </c>
    </row>
    <row r="103" spans="1:26">
      <c r="A103" t="s">
        <v>159</v>
      </c>
      <c r="B103" t="s">
        <v>160</v>
      </c>
      <c r="C103">
        <v>201410</v>
      </c>
      <c r="D103">
        <v>100</v>
      </c>
      <c r="F103">
        <v>0</v>
      </c>
      <c r="G103" t="s">
        <v>135</v>
      </c>
      <c r="H103" s="19">
        <v>41499</v>
      </c>
      <c r="I103" s="19">
        <v>41499</v>
      </c>
      <c r="M103" t="s">
        <v>142</v>
      </c>
      <c r="O103">
        <v>75</v>
      </c>
      <c r="T103" t="s">
        <v>67</v>
      </c>
      <c r="U103" t="s">
        <v>190</v>
      </c>
      <c r="V103" s="19">
        <v>43510</v>
      </c>
      <c r="W103" t="s">
        <v>191</v>
      </c>
      <c r="X103">
        <v>2</v>
      </c>
      <c r="Y103" s="19">
        <v>42611.73505787037</v>
      </c>
      <c r="Z103" s="19">
        <v>41499.527071759258</v>
      </c>
    </row>
    <row r="104" spans="1:26">
      <c r="A104" t="s">
        <v>161</v>
      </c>
      <c r="B104" t="s">
        <v>162</v>
      </c>
      <c r="C104">
        <v>201410</v>
      </c>
      <c r="D104">
        <v>100</v>
      </c>
      <c r="F104">
        <v>0</v>
      </c>
      <c r="G104" t="s">
        <v>135</v>
      </c>
      <c r="H104" s="19">
        <v>41499</v>
      </c>
      <c r="I104" s="19">
        <v>41499</v>
      </c>
      <c r="M104" t="s">
        <v>142</v>
      </c>
      <c r="O104">
        <v>74</v>
      </c>
      <c r="T104" t="s">
        <v>67</v>
      </c>
      <c r="U104" t="s">
        <v>190</v>
      </c>
      <c r="V104" s="19">
        <v>43510</v>
      </c>
      <c r="W104" t="s">
        <v>191</v>
      </c>
      <c r="X104">
        <v>2</v>
      </c>
      <c r="Y104" s="19">
        <v>42611.73505787037</v>
      </c>
      <c r="Z104" s="19">
        <v>41499.527071759258</v>
      </c>
    </row>
    <row r="105" spans="1:26">
      <c r="A105" t="s">
        <v>163</v>
      </c>
      <c r="B105" t="s">
        <v>164</v>
      </c>
      <c r="C105">
        <v>201410</v>
      </c>
      <c r="D105">
        <v>30</v>
      </c>
      <c r="F105">
        <v>0</v>
      </c>
      <c r="G105" t="s">
        <v>135</v>
      </c>
      <c r="H105" s="19">
        <v>41499</v>
      </c>
      <c r="I105" s="19">
        <v>41499</v>
      </c>
      <c r="M105" t="s">
        <v>142</v>
      </c>
      <c r="O105">
        <v>73</v>
      </c>
      <c r="T105" t="s">
        <v>67</v>
      </c>
      <c r="U105" t="s">
        <v>190</v>
      </c>
      <c r="V105" s="19">
        <v>43510</v>
      </c>
      <c r="W105" t="s">
        <v>191</v>
      </c>
      <c r="X105">
        <v>2</v>
      </c>
      <c r="Y105" s="19">
        <v>42611.73505787037</v>
      </c>
      <c r="Z105" s="19">
        <v>41499.527071759258</v>
      </c>
    </row>
    <row r="106" spans="1:26">
      <c r="A106" t="s">
        <v>192</v>
      </c>
      <c r="B106" t="s">
        <v>193</v>
      </c>
      <c r="C106">
        <v>201520</v>
      </c>
      <c r="D106">
        <v>10</v>
      </c>
      <c r="F106">
        <v>0</v>
      </c>
      <c r="G106" t="s">
        <v>123</v>
      </c>
      <c r="H106" s="19">
        <v>42065</v>
      </c>
      <c r="I106" s="19">
        <v>42065</v>
      </c>
      <c r="L106">
        <v>322920</v>
      </c>
      <c r="O106">
        <v>84</v>
      </c>
      <c r="T106" t="s">
        <v>67</v>
      </c>
      <c r="U106" t="s">
        <v>194</v>
      </c>
      <c r="V106" s="19">
        <v>42076</v>
      </c>
      <c r="W106" t="s">
        <v>131</v>
      </c>
      <c r="X106">
        <v>1465</v>
      </c>
      <c r="Y106" s="19">
        <v>42065.586111111108</v>
      </c>
      <c r="Z106" s="19">
        <v>42065.570335648146</v>
      </c>
    </row>
    <row r="107" spans="1:26">
      <c r="A107" t="s">
        <v>121</v>
      </c>
      <c r="B107" t="s">
        <v>122</v>
      </c>
      <c r="C107">
        <v>201520</v>
      </c>
      <c r="E107">
        <v>10</v>
      </c>
      <c r="F107">
        <v>0</v>
      </c>
      <c r="G107" t="s">
        <v>123</v>
      </c>
      <c r="H107" s="19">
        <v>42065</v>
      </c>
      <c r="I107" s="19">
        <v>42065</v>
      </c>
      <c r="L107">
        <v>322920</v>
      </c>
      <c r="O107">
        <v>83</v>
      </c>
      <c r="T107" t="s">
        <v>67</v>
      </c>
      <c r="U107" t="s">
        <v>194</v>
      </c>
      <c r="V107" s="19">
        <v>42076</v>
      </c>
      <c r="W107" t="s">
        <v>131</v>
      </c>
      <c r="X107">
        <v>1465</v>
      </c>
      <c r="Y107" s="19">
        <v>42065.586111111108</v>
      </c>
      <c r="Z107" s="19">
        <v>42065.570219907408</v>
      </c>
    </row>
    <row r="108" spans="1:26">
      <c r="A108" t="s">
        <v>192</v>
      </c>
      <c r="B108" t="s">
        <v>193</v>
      </c>
      <c r="C108">
        <v>201710</v>
      </c>
      <c r="D108">
        <v>10</v>
      </c>
      <c r="F108">
        <v>0</v>
      </c>
      <c r="G108" t="s">
        <v>123</v>
      </c>
      <c r="H108" s="19">
        <v>42648</v>
      </c>
      <c r="I108" s="19">
        <v>42648</v>
      </c>
      <c r="L108">
        <v>376078</v>
      </c>
      <c r="O108">
        <v>88</v>
      </c>
      <c r="T108" t="s">
        <v>67</v>
      </c>
      <c r="U108" t="s">
        <v>195</v>
      </c>
      <c r="V108" s="19">
        <v>42649</v>
      </c>
      <c r="W108" t="s">
        <v>131</v>
      </c>
      <c r="X108">
        <v>2101</v>
      </c>
      <c r="Y108" s="19">
        <v>42648.611284722225</v>
      </c>
      <c r="Z108" s="19">
        <v>42648.525381944448</v>
      </c>
    </row>
    <row r="109" spans="1:26">
      <c r="A109" t="s">
        <v>121</v>
      </c>
      <c r="B109" t="s">
        <v>122</v>
      </c>
      <c r="C109">
        <v>201710</v>
      </c>
      <c r="E109">
        <v>10</v>
      </c>
      <c r="F109">
        <v>0</v>
      </c>
      <c r="G109" t="s">
        <v>123</v>
      </c>
      <c r="H109" s="19">
        <v>42648</v>
      </c>
      <c r="I109" s="19">
        <v>42648</v>
      </c>
      <c r="L109">
        <v>376078</v>
      </c>
      <c r="O109">
        <v>87</v>
      </c>
      <c r="T109" t="s">
        <v>67</v>
      </c>
      <c r="U109" t="s">
        <v>195</v>
      </c>
      <c r="V109" s="19">
        <v>42649</v>
      </c>
      <c r="W109" t="s">
        <v>131</v>
      </c>
      <c r="X109">
        <v>2101</v>
      </c>
      <c r="Y109" s="19">
        <v>42648.611284722225</v>
      </c>
      <c r="Z109" s="19">
        <v>42648.525196759256</v>
      </c>
    </row>
    <row r="110" spans="1:26">
      <c r="A110" t="s">
        <v>121</v>
      </c>
      <c r="B110" t="s">
        <v>122</v>
      </c>
      <c r="C110">
        <v>201720</v>
      </c>
      <c r="E110">
        <v>650</v>
      </c>
      <c r="F110">
        <v>0</v>
      </c>
      <c r="G110" t="s">
        <v>123</v>
      </c>
      <c r="H110" s="19">
        <v>42865</v>
      </c>
      <c r="I110" s="19">
        <v>42865</v>
      </c>
      <c r="L110">
        <v>394366</v>
      </c>
      <c r="O110">
        <v>102</v>
      </c>
      <c r="T110" t="s">
        <v>67</v>
      </c>
      <c r="U110" t="s">
        <v>196</v>
      </c>
      <c r="V110" s="19">
        <v>42866</v>
      </c>
      <c r="W110" t="s">
        <v>131</v>
      </c>
      <c r="X110">
        <v>2331</v>
      </c>
      <c r="Y110" s="19">
        <v>42865.612870370373</v>
      </c>
      <c r="Z110" s="19">
        <v>42865.467442129629</v>
      </c>
    </row>
    <row r="111" spans="1:26">
      <c r="A111" t="s">
        <v>128</v>
      </c>
      <c r="B111" t="s">
        <v>129</v>
      </c>
      <c r="C111">
        <v>201720</v>
      </c>
      <c r="D111">
        <v>100</v>
      </c>
      <c r="F111">
        <v>0</v>
      </c>
      <c r="G111" t="s">
        <v>123</v>
      </c>
      <c r="H111" s="19">
        <v>42843</v>
      </c>
      <c r="I111" s="19">
        <v>42843</v>
      </c>
      <c r="L111">
        <v>392525</v>
      </c>
      <c r="O111">
        <v>101</v>
      </c>
      <c r="T111" t="s">
        <v>67</v>
      </c>
      <c r="U111" t="s">
        <v>197</v>
      </c>
      <c r="V111" s="19">
        <v>42844</v>
      </c>
      <c r="W111" t="s">
        <v>131</v>
      </c>
      <c r="X111">
        <v>2301</v>
      </c>
      <c r="Y111" s="19">
        <v>42843.600624999999</v>
      </c>
      <c r="Z111" s="19">
        <v>42843.556030092594</v>
      </c>
    </row>
    <row r="112" spans="1:26">
      <c r="A112" t="s">
        <v>139</v>
      </c>
      <c r="B112" t="s">
        <v>140</v>
      </c>
      <c r="C112">
        <v>201720</v>
      </c>
      <c r="E112">
        <v>100</v>
      </c>
      <c r="F112">
        <v>0</v>
      </c>
      <c r="G112" t="s">
        <v>123</v>
      </c>
      <c r="H112" s="19">
        <v>42843</v>
      </c>
      <c r="I112" s="19">
        <v>42843</v>
      </c>
      <c r="L112">
        <v>392525</v>
      </c>
      <c r="O112">
        <v>100</v>
      </c>
      <c r="T112" t="s">
        <v>67</v>
      </c>
      <c r="U112" t="s">
        <v>197</v>
      </c>
      <c r="V112" s="19">
        <v>42844</v>
      </c>
      <c r="W112" t="s">
        <v>131</v>
      </c>
      <c r="X112">
        <v>2301</v>
      </c>
      <c r="Y112" s="19">
        <v>42843.600624999999</v>
      </c>
      <c r="Z112" s="19">
        <v>42843.555995370371</v>
      </c>
    </row>
    <row r="113" spans="1:26">
      <c r="A113" t="s">
        <v>139</v>
      </c>
      <c r="B113" t="s">
        <v>140</v>
      </c>
      <c r="C113">
        <v>201720</v>
      </c>
      <c r="E113">
        <v>1040</v>
      </c>
      <c r="F113">
        <v>0</v>
      </c>
      <c r="G113" t="s">
        <v>123</v>
      </c>
      <c r="H113" s="19">
        <v>42843</v>
      </c>
      <c r="I113" s="19">
        <v>42843</v>
      </c>
      <c r="L113">
        <v>392524</v>
      </c>
      <c r="O113">
        <v>99</v>
      </c>
      <c r="T113" t="s">
        <v>67</v>
      </c>
      <c r="U113" t="s">
        <v>197</v>
      </c>
      <c r="V113" s="19">
        <v>42844</v>
      </c>
      <c r="W113" t="s">
        <v>131</v>
      </c>
      <c r="X113">
        <v>2301</v>
      </c>
      <c r="Y113" s="19">
        <v>42843.600624999999</v>
      </c>
      <c r="Z113" s="19">
        <v>42843.555532407408</v>
      </c>
    </row>
    <row r="114" spans="1:26">
      <c r="A114" t="s">
        <v>198</v>
      </c>
      <c r="B114" t="s">
        <v>199</v>
      </c>
      <c r="C114">
        <v>201720</v>
      </c>
      <c r="D114">
        <v>40</v>
      </c>
      <c r="F114">
        <v>0</v>
      </c>
      <c r="G114" t="s">
        <v>123</v>
      </c>
      <c r="H114" s="19">
        <v>42816</v>
      </c>
      <c r="I114" s="19">
        <v>42816</v>
      </c>
      <c r="L114">
        <v>390826</v>
      </c>
      <c r="O114">
        <v>98</v>
      </c>
      <c r="T114" t="s">
        <v>67</v>
      </c>
      <c r="U114" t="s">
        <v>200</v>
      </c>
      <c r="V114" s="19">
        <v>42817</v>
      </c>
      <c r="W114" t="s">
        <v>201</v>
      </c>
      <c r="X114">
        <v>464</v>
      </c>
      <c r="Y114" s="19">
        <v>42816.667685185188</v>
      </c>
      <c r="Z114" s="19">
        <v>42816.520069444443</v>
      </c>
    </row>
    <row r="115" spans="1:26">
      <c r="A115" t="s">
        <v>121</v>
      </c>
      <c r="B115" t="s">
        <v>122</v>
      </c>
      <c r="C115">
        <v>201720</v>
      </c>
      <c r="E115">
        <v>40</v>
      </c>
      <c r="F115">
        <v>0</v>
      </c>
      <c r="G115" t="s">
        <v>123</v>
      </c>
      <c r="H115" s="19">
        <v>42816</v>
      </c>
      <c r="I115" s="19">
        <v>42816</v>
      </c>
      <c r="L115">
        <v>390826</v>
      </c>
      <c r="O115">
        <v>97</v>
      </c>
      <c r="T115" t="s">
        <v>67</v>
      </c>
      <c r="U115" t="s">
        <v>200</v>
      </c>
      <c r="V115" s="19">
        <v>42817</v>
      </c>
      <c r="W115" t="s">
        <v>201</v>
      </c>
      <c r="X115">
        <v>464</v>
      </c>
      <c r="Y115" s="19">
        <v>42816.667685185188</v>
      </c>
      <c r="Z115" s="19">
        <v>42816.52002314815</v>
      </c>
    </row>
    <row r="116" spans="1:26">
      <c r="A116" t="s">
        <v>121</v>
      </c>
      <c r="B116" t="s">
        <v>122</v>
      </c>
      <c r="C116">
        <v>201720</v>
      </c>
      <c r="E116">
        <v>520</v>
      </c>
      <c r="F116">
        <v>0</v>
      </c>
      <c r="G116" t="s">
        <v>123</v>
      </c>
      <c r="H116" s="19">
        <v>42775</v>
      </c>
      <c r="I116" s="19">
        <v>42775</v>
      </c>
      <c r="L116">
        <v>387164</v>
      </c>
      <c r="O116">
        <v>96</v>
      </c>
      <c r="T116" t="s">
        <v>67</v>
      </c>
      <c r="U116" t="s">
        <v>202</v>
      </c>
      <c r="V116" s="19">
        <v>42776</v>
      </c>
      <c r="W116" t="s">
        <v>131</v>
      </c>
      <c r="X116">
        <v>2227</v>
      </c>
      <c r="Y116" s="19">
        <v>42775.629444444443</v>
      </c>
      <c r="Z116" s="19">
        <v>42775.595520833333</v>
      </c>
    </row>
    <row r="117" spans="1:26">
      <c r="A117" t="s">
        <v>203</v>
      </c>
      <c r="B117" t="s">
        <v>204</v>
      </c>
      <c r="C117">
        <v>201720</v>
      </c>
      <c r="D117">
        <v>900</v>
      </c>
      <c r="F117">
        <v>0</v>
      </c>
      <c r="G117" t="s">
        <v>135</v>
      </c>
      <c r="H117" s="19">
        <v>42751</v>
      </c>
      <c r="I117" s="19">
        <v>42751</v>
      </c>
      <c r="M117" t="s">
        <v>142</v>
      </c>
      <c r="O117">
        <v>95</v>
      </c>
      <c r="T117" t="s">
        <v>67</v>
      </c>
      <c r="U117" t="s">
        <v>205</v>
      </c>
      <c r="V117" s="19">
        <v>42752</v>
      </c>
      <c r="W117" t="s">
        <v>206</v>
      </c>
      <c r="X117">
        <v>8</v>
      </c>
      <c r="Y117" s="19">
        <v>42751.623229166667</v>
      </c>
      <c r="Z117" s="19">
        <v>42751.623229166667</v>
      </c>
    </row>
    <row r="118" spans="1:26">
      <c r="A118" t="s">
        <v>177</v>
      </c>
      <c r="B118" t="s">
        <v>178</v>
      </c>
      <c r="C118">
        <v>201720</v>
      </c>
      <c r="D118">
        <v>900</v>
      </c>
      <c r="F118">
        <v>0</v>
      </c>
      <c r="G118" t="s">
        <v>135</v>
      </c>
      <c r="H118" s="19">
        <v>42751</v>
      </c>
      <c r="I118" s="19">
        <v>42751</v>
      </c>
      <c r="M118" t="s">
        <v>142</v>
      </c>
      <c r="O118">
        <v>94</v>
      </c>
      <c r="T118" t="s">
        <v>67</v>
      </c>
      <c r="U118" t="s">
        <v>205</v>
      </c>
      <c r="V118" s="19">
        <v>42752</v>
      </c>
      <c r="W118" t="s">
        <v>207</v>
      </c>
      <c r="X118">
        <v>5</v>
      </c>
      <c r="Y118" s="19">
        <v>42751.57608796296</v>
      </c>
      <c r="Z118" s="19">
        <v>42751.51966435185</v>
      </c>
    </row>
    <row r="119" spans="1:26">
      <c r="A119" t="s">
        <v>155</v>
      </c>
      <c r="B119" t="s">
        <v>156</v>
      </c>
      <c r="C119">
        <v>201720</v>
      </c>
      <c r="D119">
        <v>80</v>
      </c>
      <c r="F119">
        <v>0</v>
      </c>
      <c r="G119" t="s">
        <v>135</v>
      </c>
      <c r="H119" s="19">
        <v>42751</v>
      </c>
      <c r="I119" s="19">
        <v>42751</v>
      </c>
      <c r="M119" t="s">
        <v>142</v>
      </c>
      <c r="O119">
        <v>93</v>
      </c>
      <c r="T119" t="s">
        <v>67</v>
      </c>
      <c r="U119" t="s">
        <v>205</v>
      </c>
      <c r="V119" s="19">
        <v>42752</v>
      </c>
      <c r="W119" t="s">
        <v>207</v>
      </c>
      <c r="X119">
        <v>5</v>
      </c>
      <c r="Y119" s="19">
        <v>42751.57608796296</v>
      </c>
      <c r="Z119" s="19">
        <v>42751.51966435185</v>
      </c>
    </row>
    <row r="120" spans="1:26">
      <c r="A120" t="s">
        <v>157</v>
      </c>
      <c r="B120" t="s">
        <v>158</v>
      </c>
      <c r="C120">
        <v>201720</v>
      </c>
      <c r="D120">
        <v>100</v>
      </c>
      <c r="F120">
        <v>0</v>
      </c>
      <c r="G120" t="s">
        <v>135</v>
      </c>
      <c r="H120" s="19">
        <v>42751</v>
      </c>
      <c r="I120" s="19">
        <v>42751</v>
      </c>
      <c r="M120" t="s">
        <v>142</v>
      </c>
      <c r="O120">
        <v>92</v>
      </c>
      <c r="T120" t="s">
        <v>67</v>
      </c>
      <c r="U120" t="s">
        <v>205</v>
      </c>
      <c r="V120" s="19">
        <v>42752</v>
      </c>
      <c r="W120" t="s">
        <v>207</v>
      </c>
      <c r="X120">
        <v>5</v>
      </c>
      <c r="Y120" s="19">
        <v>42751.57608796296</v>
      </c>
      <c r="Z120" s="19">
        <v>42751.51966435185</v>
      </c>
    </row>
    <row r="121" spans="1:26">
      <c r="A121" t="s">
        <v>159</v>
      </c>
      <c r="B121" t="s">
        <v>160</v>
      </c>
      <c r="C121">
        <v>201720</v>
      </c>
      <c r="D121">
        <v>100</v>
      </c>
      <c r="F121">
        <v>0</v>
      </c>
      <c r="G121" t="s">
        <v>135</v>
      </c>
      <c r="H121" s="19">
        <v>42751</v>
      </c>
      <c r="I121" s="19">
        <v>42751</v>
      </c>
      <c r="M121" t="s">
        <v>142</v>
      </c>
      <c r="O121">
        <v>91</v>
      </c>
      <c r="T121" t="s">
        <v>67</v>
      </c>
      <c r="U121" t="s">
        <v>205</v>
      </c>
      <c r="V121" s="19">
        <v>42752</v>
      </c>
      <c r="W121" t="s">
        <v>207</v>
      </c>
      <c r="X121">
        <v>5</v>
      </c>
      <c r="Y121" s="19">
        <v>42751.57608796296</v>
      </c>
      <c r="Z121" s="19">
        <v>42751.51966435185</v>
      </c>
    </row>
    <row r="122" spans="1:26">
      <c r="A122" t="s">
        <v>161</v>
      </c>
      <c r="B122" t="s">
        <v>162</v>
      </c>
      <c r="C122">
        <v>201720</v>
      </c>
      <c r="D122">
        <v>100</v>
      </c>
      <c r="F122">
        <v>0</v>
      </c>
      <c r="G122" t="s">
        <v>135</v>
      </c>
      <c r="H122" s="19">
        <v>42751</v>
      </c>
      <c r="I122" s="19">
        <v>42751</v>
      </c>
      <c r="M122" t="s">
        <v>142</v>
      </c>
      <c r="O122">
        <v>90</v>
      </c>
      <c r="T122" t="s">
        <v>67</v>
      </c>
      <c r="U122" t="s">
        <v>205</v>
      </c>
      <c r="V122" s="19">
        <v>42752</v>
      </c>
      <c r="W122" t="s">
        <v>207</v>
      </c>
      <c r="X122">
        <v>5</v>
      </c>
      <c r="Y122" s="19">
        <v>42751.57608796296</v>
      </c>
      <c r="Z122" s="19">
        <v>42751.51966435185</v>
      </c>
    </row>
    <row r="123" spans="1:26">
      <c r="A123" t="s">
        <v>163</v>
      </c>
      <c r="B123" t="s">
        <v>164</v>
      </c>
      <c r="C123">
        <v>201720</v>
      </c>
      <c r="D123">
        <v>30</v>
      </c>
      <c r="F123">
        <v>0</v>
      </c>
      <c r="G123" t="s">
        <v>135</v>
      </c>
      <c r="H123" s="19">
        <v>42751</v>
      </c>
      <c r="I123" s="19">
        <v>42751</v>
      </c>
      <c r="M123" t="s">
        <v>142</v>
      </c>
      <c r="O123">
        <v>89</v>
      </c>
      <c r="T123" t="s">
        <v>67</v>
      </c>
      <c r="U123" t="s">
        <v>205</v>
      </c>
      <c r="V123" s="19">
        <v>42752</v>
      </c>
      <c r="W123" t="s">
        <v>207</v>
      </c>
      <c r="X123">
        <v>5</v>
      </c>
      <c r="Y123" s="19">
        <v>42751.57608796296</v>
      </c>
      <c r="Z123" s="19">
        <v>42751.51966435185</v>
      </c>
    </row>
    <row r="124" spans="1:26">
      <c r="A124" t="s">
        <v>121</v>
      </c>
      <c r="B124" t="s">
        <v>208</v>
      </c>
      <c r="C124">
        <v>201730</v>
      </c>
      <c r="E124">
        <v>-450</v>
      </c>
      <c r="F124">
        <v>320</v>
      </c>
      <c r="G124" t="s">
        <v>123</v>
      </c>
      <c r="H124" s="19">
        <v>44960.41333333333</v>
      </c>
      <c r="I124" s="19">
        <v>44960.41333333333</v>
      </c>
      <c r="L124">
        <v>542312</v>
      </c>
      <c r="O124">
        <v>280</v>
      </c>
      <c r="T124" t="s">
        <v>67</v>
      </c>
      <c r="U124" t="s">
        <v>209</v>
      </c>
      <c r="V124" s="19">
        <v>44963</v>
      </c>
      <c r="W124" t="s">
        <v>210</v>
      </c>
      <c r="X124">
        <v>773</v>
      </c>
      <c r="Y124" s="19">
        <v>44963.392106481479</v>
      </c>
      <c r="Z124" s="19">
        <v>44960.413240740738</v>
      </c>
    </row>
    <row r="125" spans="1:26">
      <c r="A125" t="s">
        <v>115</v>
      </c>
      <c r="B125" t="s">
        <v>116</v>
      </c>
      <c r="C125">
        <v>201730</v>
      </c>
      <c r="E125">
        <v>1800</v>
      </c>
      <c r="F125">
        <v>-1800</v>
      </c>
      <c r="G125" t="s">
        <v>29</v>
      </c>
      <c r="H125" s="19">
        <v>44572.889733796299</v>
      </c>
      <c r="I125" s="19">
        <v>44572.889733796299</v>
      </c>
      <c r="O125">
        <v>277</v>
      </c>
      <c r="T125" t="s">
        <v>142</v>
      </c>
      <c r="W125" t="s">
        <v>118</v>
      </c>
      <c r="X125">
        <v>70</v>
      </c>
      <c r="Y125" s="19">
        <v>44573.335775462961</v>
      </c>
      <c r="Z125" s="19">
        <v>44572.889733796299</v>
      </c>
    </row>
    <row r="126" spans="1:26">
      <c r="A126" t="s">
        <v>121</v>
      </c>
      <c r="B126" t="s">
        <v>122</v>
      </c>
      <c r="C126">
        <v>201730</v>
      </c>
      <c r="E126">
        <v>1800</v>
      </c>
      <c r="F126">
        <v>0</v>
      </c>
      <c r="G126" t="s">
        <v>123</v>
      </c>
      <c r="H126" s="19">
        <v>42949</v>
      </c>
      <c r="I126" s="19">
        <v>42949</v>
      </c>
      <c r="L126">
        <v>400452</v>
      </c>
      <c r="O126">
        <v>111</v>
      </c>
      <c r="T126" t="s">
        <v>67</v>
      </c>
      <c r="U126" t="s">
        <v>211</v>
      </c>
      <c r="V126" s="19">
        <v>42950</v>
      </c>
      <c r="W126" t="s">
        <v>212</v>
      </c>
      <c r="X126">
        <v>1096</v>
      </c>
      <c r="Y126" s="19">
        <v>42949.671793981484</v>
      </c>
      <c r="Z126" s="19">
        <v>42949.482164351852</v>
      </c>
    </row>
    <row r="127" spans="1:26">
      <c r="A127" t="s">
        <v>121</v>
      </c>
      <c r="B127" t="s">
        <v>122</v>
      </c>
      <c r="C127">
        <v>201730</v>
      </c>
      <c r="E127">
        <v>280</v>
      </c>
      <c r="F127">
        <v>0</v>
      </c>
      <c r="G127" t="s">
        <v>123</v>
      </c>
      <c r="H127" s="19">
        <v>42895</v>
      </c>
      <c r="I127" s="19">
        <v>42895</v>
      </c>
      <c r="L127">
        <v>397628</v>
      </c>
      <c r="O127">
        <v>110</v>
      </c>
      <c r="T127" t="s">
        <v>67</v>
      </c>
      <c r="U127" t="s">
        <v>213</v>
      </c>
      <c r="V127" s="19">
        <v>42898</v>
      </c>
      <c r="W127" t="s">
        <v>125</v>
      </c>
      <c r="X127">
        <v>3084</v>
      </c>
      <c r="Y127" s="19">
        <v>42895.618923611109</v>
      </c>
      <c r="Z127" s="19">
        <v>42895.52516203704</v>
      </c>
    </row>
    <row r="128" spans="1:26">
      <c r="A128" t="s">
        <v>203</v>
      </c>
      <c r="B128" t="s">
        <v>204</v>
      </c>
      <c r="C128">
        <v>201730</v>
      </c>
      <c r="D128">
        <v>900</v>
      </c>
      <c r="F128">
        <v>0</v>
      </c>
      <c r="G128" t="s">
        <v>135</v>
      </c>
      <c r="H128" s="19">
        <v>42893</v>
      </c>
      <c r="I128" s="19">
        <v>42893</v>
      </c>
      <c r="O128">
        <v>109</v>
      </c>
      <c r="T128" t="s">
        <v>67</v>
      </c>
      <c r="U128" t="s">
        <v>214</v>
      </c>
      <c r="V128" s="19">
        <v>42894</v>
      </c>
      <c r="W128" t="s">
        <v>137</v>
      </c>
      <c r="X128">
        <v>85</v>
      </c>
      <c r="Y128" s="19">
        <v>42894.272418981483</v>
      </c>
      <c r="Z128" s="19">
        <v>42893.788287037038</v>
      </c>
    </row>
    <row r="129" spans="1:26">
      <c r="A129" t="s">
        <v>203</v>
      </c>
      <c r="B129" t="s">
        <v>204</v>
      </c>
      <c r="C129">
        <v>201730</v>
      </c>
      <c r="D129">
        <v>-900</v>
      </c>
      <c r="F129">
        <v>0</v>
      </c>
      <c r="G129" t="s">
        <v>135</v>
      </c>
      <c r="H129" s="19">
        <v>42888</v>
      </c>
      <c r="I129" s="19">
        <v>42888</v>
      </c>
      <c r="M129" t="s">
        <v>142</v>
      </c>
      <c r="O129">
        <v>108</v>
      </c>
      <c r="T129" t="s">
        <v>67</v>
      </c>
      <c r="U129" t="s">
        <v>215</v>
      </c>
      <c r="V129" s="19">
        <v>42891</v>
      </c>
      <c r="W129" t="s">
        <v>137</v>
      </c>
      <c r="X129">
        <v>82</v>
      </c>
      <c r="Y129" s="19">
        <v>42891.317997685182</v>
      </c>
      <c r="Z129" s="19">
        <v>42888.651203703703</v>
      </c>
    </row>
    <row r="130" spans="1:26">
      <c r="A130" t="s">
        <v>203</v>
      </c>
      <c r="B130" t="s">
        <v>204</v>
      </c>
      <c r="C130">
        <v>201730</v>
      </c>
      <c r="D130">
        <v>900</v>
      </c>
      <c r="F130">
        <v>0</v>
      </c>
      <c r="G130" t="s">
        <v>135</v>
      </c>
      <c r="H130" s="19">
        <v>42888</v>
      </c>
      <c r="I130" s="19">
        <v>42888</v>
      </c>
      <c r="M130" t="s">
        <v>142</v>
      </c>
      <c r="O130">
        <v>107</v>
      </c>
      <c r="T130" t="s">
        <v>67</v>
      </c>
      <c r="U130" t="s">
        <v>215</v>
      </c>
      <c r="V130" s="19">
        <v>42891</v>
      </c>
      <c r="W130" t="s">
        <v>137</v>
      </c>
      <c r="X130">
        <v>82</v>
      </c>
      <c r="Y130" s="19">
        <v>42891.317997685182</v>
      </c>
      <c r="Z130" s="19">
        <v>42888.642476851855</v>
      </c>
    </row>
    <row r="131" spans="1:26">
      <c r="A131" t="s">
        <v>203</v>
      </c>
      <c r="B131" t="s">
        <v>204</v>
      </c>
      <c r="C131">
        <v>201730</v>
      </c>
      <c r="D131">
        <v>900</v>
      </c>
      <c r="F131">
        <v>0</v>
      </c>
      <c r="G131" t="s">
        <v>135</v>
      </c>
      <c r="H131" s="19">
        <v>42888</v>
      </c>
      <c r="I131" s="19">
        <v>42888</v>
      </c>
      <c r="M131" t="s">
        <v>142</v>
      </c>
      <c r="O131">
        <v>106</v>
      </c>
      <c r="T131" t="s">
        <v>67</v>
      </c>
      <c r="U131" t="s">
        <v>215</v>
      </c>
      <c r="V131" s="19">
        <v>42891</v>
      </c>
      <c r="W131" t="s">
        <v>137</v>
      </c>
      <c r="X131">
        <v>82</v>
      </c>
      <c r="Y131" s="19">
        <v>42891.317997685182</v>
      </c>
      <c r="Z131" s="19">
        <v>42888.638518518521</v>
      </c>
    </row>
    <row r="132" spans="1:26">
      <c r="A132" t="s">
        <v>155</v>
      </c>
      <c r="B132" t="s">
        <v>156</v>
      </c>
      <c r="C132">
        <v>201730</v>
      </c>
      <c r="D132">
        <v>80</v>
      </c>
      <c r="F132">
        <v>0</v>
      </c>
      <c r="G132" t="s">
        <v>135</v>
      </c>
      <c r="H132" s="19">
        <v>42888</v>
      </c>
      <c r="I132" s="19">
        <v>42888</v>
      </c>
      <c r="M132" t="s">
        <v>142</v>
      </c>
      <c r="O132">
        <v>105</v>
      </c>
      <c r="T132" t="s">
        <v>67</v>
      </c>
      <c r="U132" t="s">
        <v>215</v>
      </c>
      <c r="V132" s="19">
        <v>42891</v>
      </c>
      <c r="W132" t="s">
        <v>137</v>
      </c>
      <c r="X132">
        <v>82</v>
      </c>
      <c r="Y132" s="19">
        <v>42891.317997685182</v>
      </c>
      <c r="Z132" s="19">
        <v>42888.638518518521</v>
      </c>
    </row>
    <row r="133" spans="1:26">
      <c r="A133" t="s">
        <v>157</v>
      </c>
      <c r="B133" t="s">
        <v>158</v>
      </c>
      <c r="C133">
        <v>201730</v>
      </c>
      <c r="D133">
        <v>100</v>
      </c>
      <c r="F133">
        <v>0</v>
      </c>
      <c r="G133" t="s">
        <v>135</v>
      </c>
      <c r="H133" s="19">
        <v>42888</v>
      </c>
      <c r="I133" s="19">
        <v>42888</v>
      </c>
      <c r="M133" t="s">
        <v>142</v>
      </c>
      <c r="O133">
        <v>104</v>
      </c>
      <c r="T133" t="s">
        <v>67</v>
      </c>
      <c r="U133" t="s">
        <v>215</v>
      </c>
      <c r="V133" s="19">
        <v>42891</v>
      </c>
      <c r="W133" t="s">
        <v>137</v>
      </c>
      <c r="X133">
        <v>82</v>
      </c>
      <c r="Y133" s="19">
        <v>42891.317997685182</v>
      </c>
      <c r="Z133" s="19">
        <v>42888.638518518521</v>
      </c>
    </row>
    <row r="134" spans="1:26">
      <c r="A134" t="s">
        <v>161</v>
      </c>
      <c r="B134" t="s">
        <v>162</v>
      </c>
      <c r="C134">
        <v>201730</v>
      </c>
      <c r="D134">
        <v>100</v>
      </c>
      <c r="F134">
        <v>0</v>
      </c>
      <c r="G134" t="s">
        <v>135</v>
      </c>
      <c r="H134" s="19">
        <v>42888</v>
      </c>
      <c r="I134" s="19">
        <v>42888</v>
      </c>
      <c r="M134" t="s">
        <v>142</v>
      </c>
      <c r="O134">
        <v>103</v>
      </c>
      <c r="T134" t="s">
        <v>67</v>
      </c>
      <c r="U134" t="s">
        <v>215</v>
      </c>
      <c r="V134" s="19">
        <v>42891</v>
      </c>
      <c r="W134" t="s">
        <v>137</v>
      </c>
      <c r="X134">
        <v>82</v>
      </c>
      <c r="Y134" s="19">
        <v>42891.317997685182</v>
      </c>
      <c r="Z134" s="19">
        <v>42888.638518518521</v>
      </c>
    </row>
    <row r="135" spans="1:26">
      <c r="A135" t="s">
        <v>115</v>
      </c>
      <c r="B135" t="s">
        <v>116</v>
      </c>
      <c r="C135">
        <v>201810</v>
      </c>
      <c r="E135">
        <v>2700</v>
      </c>
      <c r="F135">
        <v>0</v>
      </c>
      <c r="G135" t="s">
        <v>29</v>
      </c>
      <c r="H135" s="19">
        <v>44039.54519675926</v>
      </c>
      <c r="I135" s="19">
        <v>44039.54519675926</v>
      </c>
      <c r="O135">
        <v>249</v>
      </c>
      <c r="T135" t="s">
        <v>67</v>
      </c>
      <c r="U135" t="s">
        <v>216</v>
      </c>
      <c r="V135" s="19">
        <v>44046</v>
      </c>
      <c r="W135" t="s">
        <v>118</v>
      </c>
      <c r="X135">
        <v>5</v>
      </c>
      <c r="Y135" s="19">
        <v>44039.634409722225</v>
      </c>
      <c r="Z135" s="19">
        <v>44039.54519675926</v>
      </c>
    </row>
    <row r="136" spans="1:26">
      <c r="A136" t="s">
        <v>121</v>
      </c>
      <c r="B136" t="s">
        <v>122</v>
      </c>
      <c r="C136">
        <v>201810</v>
      </c>
      <c r="E136">
        <v>900</v>
      </c>
      <c r="F136">
        <v>-900</v>
      </c>
      <c r="G136" t="s">
        <v>123</v>
      </c>
      <c r="H136" s="19">
        <v>43116</v>
      </c>
      <c r="I136" s="19">
        <v>43116</v>
      </c>
      <c r="L136">
        <v>415143</v>
      </c>
      <c r="O136">
        <v>138</v>
      </c>
      <c r="T136" t="s">
        <v>67</v>
      </c>
      <c r="U136" t="s">
        <v>217</v>
      </c>
      <c r="V136" s="19">
        <v>43117</v>
      </c>
      <c r="W136" t="s">
        <v>125</v>
      </c>
      <c r="X136">
        <v>3305</v>
      </c>
      <c r="Y136" s="19">
        <v>43116.593321759261</v>
      </c>
      <c r="Z136" s="19">
        <v>43116.382488425923</v>
      </c>
    </row>
    <row r="137" spans="1:26">
      <c r="A137" t="s">
        <v>198</v>
      </c>
      <c r="B137" t="s">
        <v>199</v>
      </c>
      <c r="C137">
        <v>201810</v>
      </c>
      <c r="D137">
        <v>40</v>
      </c>
      <c r="F137">
        <v>0</v>
      </c>
      <c r="G137" t="s">
        <v>123</v>
      </c>
      <c r="H137" s="19">
        <v>43088</v>
      </c>
      <c r="I137" s="19">
        <v>43088</v>
      </c>
      <c r="L137">
        <v>413390</v>
      </c>
      <c r="O137">
        <v>137</v>
      </c>
      <c r="T137" t="s">
        <v>67</v>
      </c>
      <c r="U137" t="s">
        <v>218</v>
      </c>
      <c r="V137" s="19">
        <v>43089</v>
      </c>
      <c r="W137" t="s">
        <v>212</v>
      </c>
      <c r="X137">
        <v>1176</v>
      </c>
      <c r="Y137" s="19">
        <v>43088.666956018518</v>
      </c>
      <c r="Z137" s="19">
        <v>43088.596446759257</v>
      </c>
    </row>
    <row r="138" spans="1:26">
      <c r="A138" t="s">
        <v>121</v>
      </c>
      <c r="B138" t="s">
        <v>122</v>
      </c>
      <c r="C138">
        <v>201810</v>
      </c>
      <c r="E138">
        <v>40</v>
      </c>
      <c r="F138">
        <v>-40</v>
      </c>
      <c r="G138" t="s">
        <v>123</v>
      </c>
      <c r="H138" s="19">
        <v>43088</v>
      </c>
      <c r="I138" s="19">
        <v>43088</v>
      </c>
      <c r="L138">
        <v>413390</v>
      </c>
      <c r="O138">
        <v>136</v>
      </c>
      <c r="T138" t="s">
        <v>67</v>
      </c>
      <c r="U138" t="s">
        <v>218</v>
      </c>
      <c r="V138" s="19">
        <v>43089</v>
      </c>
      <c r="W138" t="s">
        <v>212</v>
      </c>
      <c r="X138">
        <v>1176</v>
      </c>
      <c r="Y138" s="19">
        <v>43088.666956018518</v>
      </c>
      <c r="Z138" s="19">
        <v>43088.596354166664</v>
      </c>
    </row>
    <row r="139" spans="1:26">
      <c r="A139" t="s">
        <v>121</v>
      </c>
      <c r="B139" t="s">
        <v>122</v>
      </c>
      <c r="C139">
        <v>201810</v>
      </c>
      <c r="E139">
        <v>12</v>
      </c>
      <c r="F139">
        <v>-12</v>
      </c>
      <c r="G139" t="s">
        <v>123</v>
      </c>
      <c r="H139" s="19">
        <v>43076</v>
      </c>
      <c r="I139" s="19">
        <v>43076</v>
      </c>
      <c r="L139">
        <v>412455</v>
      </c>
      <c r="O139">
        <v>135</v>
      </c>
      <c r="T139" t="s">
        <v>67</v>
      </c>
      <c r="U139" t="s">
        <v>219</v>
      </c>
      <c r="V139" s="19">
        <v>43077</v>
      </c>
      <c r="W139" t="s">
        <v>125</v>
      </c>
      <c r="X139">
        <v>3267</v>
      </c>
      <c r="Y139" s="19">
        <v>43076.602962962963</v>
      </c>
      <c r="Z139" s="19">
        <v>43076.595717592594</v>
      </c>
    </row>
    <row r="140" spans="1:26">
      <c r="A140" t="s">
        <v>126</v>
      </c>
      <c r="B140" t="s">
        <v>127</v>
      </c>
      <c r="C140">
        <v>201810</v>
      </c>
      <c r="D140">
        <v>12</v>
      </c>
      <c r="F140">
        <v>0</v>
      </c>
      <c r="G140" t="s">
        <v>123</v>
      </c>
      <c r="H140" s="19">
        <v>43076</v>
      </c>
      <c r="I140" s="19">
        <v>43076</v>
      </c>
      <c r="L140">
        <v>412455</v>
      </c>
      <c r="O140">
        <v>134</v>
      </c>
      <c r="T140" t="s">
        <v>67</v>
      </c>
      <c r="U140" t="s">
        <v>219</v>
      </c>
      <c r="V140" s="19">
        <v>43077</v>
      </c>
      <c r="W140" t="s">
        <v>125</v>
      </c>
      <c r="X140">
        <v>3267</v>
      </c>
      <c r="Y140" s="19">
        <v>43076.602962962963</v>
      </c>
      <c r="Z140" s="19">
        <v>43076.595659722225</v>
      </c>
    </row>
    <row r="141" spans="1:26">
      <c r="A141" t="s">
        <v>121</v>
      </c>
      <c r="B141" t="s">
        <v>122</v>
      </c>
      <c r="C141">
        <v>201810</v>
      </c>
      <c r="E141">
        <v>600</v>
      </c>
      <c r="F141">
        <v>-600</v>
      </c>
      <c r="G141" t="s">
        <v>123</v>
      </c>
      <c r="H141" s="19">
        <v>43076</v>
      </c>
      <c r="I141" s="19">
        <v>43076</v>
      </c>
      <c r="L141">
        <v>412454</v>
      </c>
      <c r="O141">
        <v>133</v>
      </c>
      <c r="T141" t="s">
        <v>67</v>
      </c>
      <c r="U141" t="s">
        <v>219</v>
      </c>
      <c r="V141" s="19">
        <v>43077</v>
      </c>
      <c r="W141" t="s">
        <v>125</v>
      </c>
      <c r="X141">
        <v>3267</v>
      </c>
      <c r="Y141" s="19">
        <v>43076.602962962963</v>
      </c>
      <c r="Z141" s="19">
        <v>43076.59511574074</v>
      </c>
    </row>
    <row r="142" spans="1:26">
      <c r="A142" t="s">
        <v>198</v>
      </c>
      <c r="B142" t="s">
        <v>199</v>
      </c>
      <c r="C142">
        <v>201810</v>
      </c>
      <c r="D142">
        <v>30</v>
      </c>
      <c r="F142">
        <v>0</v>
      </c>
      <c r="G142" t="s">
        <v>123</v>
      </c>
      <c r="H142" s="19">
        <v>43053</v>
      </c>
      <c r="I142" s="19">
        <v>43053</v>
      </c>
      <c r="L142">
        <v>410990</v>
      </c>
      <c r="O142">
        <v>132</v>
      </c>
      <c r="T142" t="s">
        <v>67</v>
      </c>
      <c r="U142" t="s">
        <v>220</v>
      </c>
      <c r="V142" s="19">
        <v>43054</v>
      </c>
      <c r="W142" t="s">
        <v>201</v>
      </c>
      <c r="X142">
        <v>571</v>
      </c>
      <c r="Y142" s="19">
        <v>43053.552870370368</v>
      </c>
      <c r="Z142" s="19">
        <v>43053.425312500003</v>
      </c>
    </row>
    <row r="143" spans="1:26">
      <c r="A143" t="s">
        <v>121</v>
      </c>
      <c r="B143" t="s">
        <v>122</v>
      </c>
      <c r="C143">
        <v>201810</v>
      </c>
      <c r="E143">
        <v>30</v>
      </c>
      <c r="F143">
        <v>-30</v>
      </c>
      <c r="G143" t="s">
        <v>123</v>
      </c>
      <c r="H143" s="19">
        <v>43053</v>
      </c>
      <c r="I143" s="19">
        <v>43053</v>
      </c>
      <c r="L143">
        <v>410990</v>
      </c>
      <c r="O143">
        <v>131</v>
      </c>
      <c r="T143" t="s">
        <v>67</v>
      </c>
      <c r="U143" t="s">
        <v>220</v>
      </c>
      <c r="V143" s="19">
        <v>43054</v>
      </c>
      <c r="W143" t="s">
        <v>201</v>
      </c>
      <c r="X143">
        <v>571</v>
      </c>
      <c r="Y143" s="19">
        <v>43053.552870370368</v>
      </c>
      <c r="Z143" s="19">
        <v>43053.425254629627</v>
      </c>
    </row>
    <row r="144" spans="1:26">
      <c r="A144" t="s">
        <v>121</v>
      </c>
      <c r="B144" t="s">
        <v>122</v>
      </c>
      <c r="C144">
        <v>201810</v>
      </c>
      <c r="E144">
        <v>600</v>
      </c>
      <c r="F144">
        <v>-600</v>
      </c>
      <c r="G144" t="s">
        <v>123</v>
      </c>
      <c r="H144" s="19">
        <v>43053</v>
      </c>
      <c r="I144" s="19">
        <v>43053</v>
      </c>
      <c r="L144">
        <v>410989</v>
      </c>
      <c r="O144">
        <v>130</v>
      </c>
      <c r="T144" t="s">
        <v>67</v>
      </c>
      <c r="U144" t="s">
        <v>220</v>
      </c>
      <c r="V144" s="19">
        <v>43054</v>
      </c>
      <c r="W144" t="s">
        <v>201</v>
      </c>
      <c r="X144">
        <v>571</v>
      </c>
      <c r="Y144" s="19">
        <v>43053.552870370368</v>
      </c>
      <c r="Z144" s="19">
        <v>43053.425023148149</v>
      </c>
    </row>
    <row r="145" spans="1:26">
      <c r="A145" t="s">
        <v>128</v>
      </c>
      <c r="B145" t="s">
        <v>129</v>
      </c>
      <c r="C145">
        <v>201810</v>
      </c>
      <c r="D145">
        <v>30</v>
      </c>
      <c r="F145">
        <v>0</v>
      </c>
      <c r="G145" t="s">
        <v>123</v>
      </c>
      <c r="H145" s="19">
        <v>43020</v>
      </c>
      <c r="I145" s="19">
        <v>43020</v>
      </c>
      <c r="L145">
        <v>407730</v>
      </c>
      <c r="O145">
        <v>129</v>
      </c>
      <c r="T145" t="s">
        <v>67</v>
      </c>
      <c r="U145" t="s">
        <v>221</v>
      </c>
      <c r="V145" s="19">
        <v>43027</v>
      </c>
      <c r="W145" t="s">
        <v>131</v>
      </c>
      <c r="X145">
        <v>2499</v>
      </c>
      <c r="Y145" s="19">
        <v>43020.618078703701</v>
      </c>
      <c r="Z145" s="19">
        <v>43020.45789351852</v>
      </c>
    </row>
    <row r="146" spans="1:26">
      <c r="A146" t="s">
        <v>121</v>
      </c>
      <c r="B146" t="s">
        <v>122</v>
      </c>
      <c r="C146">
        <v>201810</v>
      </c>
      <c r="E146">
        <v>30</v>
      </c>
      <c r="F146">
        <v>-30</v>
      </c>
      <c r="G146" t="s">
        <v>123</v>
      </c>
      <c r="H146" s="19">
        <v>43020</v>
      </c>
      <c r="I146" s="19">
        <v>43020</v>
      </c>
      <c r="L146">
        <v>407730</v>
      </c>
      <c r="O146">
        <v>128</v>
      </c>
      <c r="T146" t="s">
        <v>67</v>
      </c>
      <c r="U146" t="s">
        <v>221</v>
      </c>
      <c r="V146" s="19">
        <v>43027</v>
      </c>
      <c r="W146" t="s">
        <v>131</v>
      </c>
      <c r="X146">
        <v>2499</v>
      </c>
      <c r="Y146" s="19">
        <v>43020.618078703701</v>
      </c>
      <c r="Z146" s="19">
        <v>43020.457812499997</v>
      </c>
    </row>
    <row r="147" spans="1:26">
      <c r="A147" t="s">
        <v>121</v>
      </c>
      <c r="B147" t="s">
        <v>122</v>
      </c>
      <c r="C147">
        <v>201810</v>
      </c>
      <c r="E147">
        <v>600</v>
      </c>
      <c r="F147">
        <v>-488</v>
      </c>
      <c r="G147" t="s">
        <v>123</v>
      </c>
      <c r="H147" s="19">
        <v>43020</v>
      </c>
      <c r="I147" s="19">
        <v>43020</v>
      </c>
      <c r="L147">
        <v>407729</v>
      </c>
      <c r="O147">
        <v>127</v>
      </c>
      <c r="T147" t="s">
        <v>67</v>
      </c>
      <c r="U147" t="s">
        <v>221</v>
      </c>
      <c r="V147" s="19">
        <v>43027</v>
      </c>
      <c r="W147" t="s">
        <v>131</v>
      </c>
      <c r="X147">
        <v>2499</v>
      </c>
      <c r="Y147" s="19">
        <v>43020.618078703701</v>
      </c>
      <c r="Z147" s="19">
        <v>43020.457060185188</v>
      </c>
    </row>
    <row r="148" spans="1:26">
      <c r="A148" t="s">
        <v>121</v>
      </c>
      <c r="B148" t="s">
        <v>122</v>
      </c>
      <c r="C148">
        <v>201810</v>
      </c>
      <c r="E148">
        <v>410</v>
      </c>
      <c r="F148">
        <v>0</v>
      </c>
      <c r="G148" t="s">
        <v>123</v>
      </c>
      <c r="H148" s="19">
        <v>42992</v>
      </c>
      <c r="I148" s="19">
        <v>42992</v>
      </c>
      <c r="L148">
        <v>404932</v>
      </c>
      <c r="O148">
        <v>126</v>
      </c>
      <c r="T148" t="s">
        <v>67</v>
      </c>
      <c r="U148" t="s">
        <v>222</v>
      </c>
      <c r="V148" s="19">
        <v>42993</v>
      </c>
      <c r="W148" t="s">
        <v>125</v>
      </c>
      <c r="X148">
        <v>3183</v>
      </c>
      <c r="Y148" s="19">
        <v>42992.613668981481</v>
      </c>
      <c r="Z148" s="19">
        <v>42992.428599537037</v>
      </c>
    </row>
    <row r="149" spans="1:26">
      <c r="A149" t="s">
        <v>203</v>
      </c>
      <c r="B149" t="s">
        <v>204</v>
      </c>
      <c r="C149">
        <v>201810</v>
      </c>
      <c r="D149">
        <v>900</v>
      </c>
      <c r="F149">
        <v>0</v>
      </c>
      <c r="G149" t="s">
        <v>135</v>
      </c>
      <c r="H149" s="19">
        <v>42987</v>
      </c>
      <c r="I149" s="19">
        <v>42987</v>
      </c>
      <c r="O149">
        <v>125</v>
      </c>
      <c r="T149" t="s">
        <v>67</v>
      </c>
      <c r="U149" t="s">
        <v>223</v>
      </c>
      <c r="V149" s="19">
        <v>42989</v>
      </c>
      <c r="W149" t="s">
        <v>137</v>
      </c>
      <c r="X149">
        <v>101</v>
      </c>
      <c r="Y149" s="19">
        <v>42989.40452546296</v>
      </c>
      <c r="Z149" s="19">
        <v>42987.581250000003</v>
      </c>
    </row>
    <row r="150" spans="1:26">
      <c r="A150" t="s">
        <v>203</v>
      </c>
      <c r="B150" t="s">
        <v>204</v>
      </c>
      <c r="C150">
        <v>201810</v>
      </c>
      <c r="D150">
        <v>-900</v>
      </c>
      <c r="F150">
        <v>0</v>
      </c>
      <c r="G150" t="s">
        <v>135</v>
      </c>
      <c r="H150" s="19">
        <v>42973</v>
      </c>
      <c r="I150" s="19">
        <v>42973</v>
      </c>
      <c r="M150" t="s">
        <v>142</v>
      </c>
      <c r="O150">
        <v>124</v>
      </c>
      <c r="T150" t="s">
        <v>67</v>
      </c>
      <c r="U150" t="s">
        <v>224</v>
      </c>
      <c r="V150" s="19">
        <v>42975</v>
      </c>
      <c r="W150" t="s">
        <v>137</v>
      </c>
      <c r="X150">
        <v>93</v>
      </c>
      <c r="Y150" s="19">
        <v>42975.368900462963</v>
      </c>
      <c r="Z150" s="19">
        <v>42973.531990740739</v>
      </c>
    </row>
    <row r="151" spans="1:26">
      <c r="A151" t="s">
        <v>203</v>
      </c>
      <c r="B151" t="s">
        <v>204</v>
      </c>
      <c r="C151">
        <v>201810</v>
      </c>
      <c r="D151">
        <v>900</v>
      </c>
      <c r="F151">
        <v>0</v>
      </c>
      <c r="G151" t="s">
        <v>135</v>
      </c>
      <c r="H151" s="19">
        <v>42973</v>
      </c>
      <c r="I151" s="19">
        <v>42973</v>
      </c>
      <c r="M151" t="s">
        <v>142</v>
      </c>
      <c r="O151">
        <v>123</v>
      </c>
      <c r="T151" t="s">
        <v>67</v>
      </c>
      <c r="U151" t="s">
        <v>224</v>
      </c>
      <c r="V151" s="19">
        <v>42975</v>
      </c>
      <c r="W151" t="s">
        <v>137</v>
      </c>
      <c r="X151">
        <v>93</v>
      </c>
      <c r="Y151" s="19">
        <v>42975.368900462963</v>
      </c>
      <c r="Z151" s="19">
        <v>42973.531030092592</v>
      </c>
    </row>
    <row r="152" spans="1:26">
      <c r="A152" t="s">
        <v>133</v>
      </c>
      <c r="B152" t="s">
        <v>134</v>
      </c>
      <c r="C152">
        <v>201810</v>
      </c>
      <c r="D152">
        <v>900</v>
      </c>
      <c r="F152">
        <v>0</v>
      </c>
      <c r="G152" t="s">
        <v>135</v>
      </c>
      <c r="H152" s="19">
        <v>42970</v>
      </c>
      <c r="I152" s="19">
        <v>42970</v>
      </c>
      <c r="M152" t="s">
        <v>142</v>
      </c>
      <c r="O152">
        <v>122</v>
      </c>
      <c r="T152" t="s">
        <v>67</v>
      </c>
      <c r="U152" t="s">
        <v>225</v>
      </c>
      <c r="V152" s="19">
        <v>42970</v>
      </c>
      <c r="W152" t="s">
        <v>137</v>
      </c>
      <c r="X152">
        <v>90</v>
      </c>
      <c r="Y152" s="19">
        <v>42970.320023148146</v>
      </c>
      <c r="Z152" s="19">
        <v>42970.042754629627</v>
      </c>
    </row>
    <row r="153" spans="1:26">
      <c r="A153" t="s">
        <v>133</v>
      </c>
      <c r="B153" t="s">
        <v>134</v>
      </c>
      <c r="C153">
        <v>201810</v>
      </c>
      <c r="D153">
        <v>-900</v>
      </c>
      <c r="F153">
        <v>0</v>
      </c>
      <c r="G153" t="s">
        <v>135</v>
      </c>
      <c r="H153" s="19">
        <v>42970</v>
      </c>
      <c r="I153" s="19">
        <v>42970</v>
      </c>
      <c r="M153" t="s">
        <v>142</v>
      </c>
      <c r="O153">
        <v>121</v>
      </c>
      <c r="T153" t="s">
        <v>67</v>
      </c>
      <c r="U153" t="s">
        <v>226</v>
      </c>
      <c r="V153" s="19">
        <v>42970</v>
      </c>
      <c r="W153" t="s">
        <v>137</v>
      </c>
      <c r="X153">
        <v>90</v>
      </c>
      <c r="Y153" s="19">
        <v>42970.320023148146</v>
      </c>
      <c r="Z153" s="19">
        <v>42970.042569444442</v>
      </c>
    </row>
    <row r="154" spans="1:26">
      <c r="A154" t="s">
        <v>133</v>
      </c>
      <c r="B154" t="s">
        <v>134</v>
      </c>
      <c r="C154">
        <v>201810</v>
      </c>
      <c r="D154">
        <v>900</v>
      </c>
      <c r="F154">
        <v>0</v>
      </c>
      <c r="G154" t="s">
        <v>135</v>
      </c>
      <c r="H154" s="19">
        <v>42970</v>
      </c>
      <c r="I154" s="19">
        <v>42970</v>
      </c>
      <c r="M154" t="s">
        <v>142</v>
      </c>
      <c r="O154">
        <v>120</v>
      </c>
      <c r="T154" t="s">
        <v>67</v>
      </c>
      <c r="U154" t="s">
        <v>226</v>
      </c>
      <c r="V154" s="19">
        <v>42970</v>
      </c>
      <c r="W154" t="s">
        <v>137</v>
      </c>
      <c r="X154">
        <v>90</v>
      </c>
      <c r="Y154" s="19">
        <v>42970.320023148146</v>
      </c>
      <c r="Z154" s="19">
        <v>42970.039652777778</v>
      </c>
    </row>
    <row r="155" spans="1:26">
      <c r="A155" t="s">
        <v>133</v>
      </c>
      <c r="B155" t="s">
        <v>134</v>
      </c>
      <c r="C155">
        <v>201810</v>
      </c>
      <c r="D155">
        <v>-900</v>
      </c>
      <c r="F155">
        <v>0</v>
      </c>
      <c r="G155" t="s">
        <v>135</v>
      </c>
      <c r="H155" s="19">
        <v>42970</v>
      </c>
      <c r="I155" s="19">
        <v>42970</v>
      </c>
      <c r="M155" t="s">
        <v>142</v>
      </c>
      <c r="O155">
        <v>119</v>
      </c>
      <c r="T155" t="s">
        <v>67</v>
      </c>
      <c r="U155" t="s">
        <v>225</v>
      </c>
      <c r="V155" s="19">
        <v>42970</v>
      </c>
      <c r="W155" t="s">
        <v>137</v>
      </c>
      <c r="X155">
        <v>90</v>
      </c>
      <c r="Y155" s="19">
        <v>42970.320023148146</v>
      </c>
      <c r="Z155" s="19">
        <v>42970.038819444446</v>
      </c>
    </row>
    <row r="156" spans="1:26">
      <c r="A156" t="s">
        <v>227</v>
      </c>
      <c r="B156" t="s">
        <v>228</v>
      </c>
      <c r="C156">
        <v>201810</v>
      </c>
      <c r="D156">
        <v>900</v>
      </c>
      <c r="F156">
        <v>0</v>
      </c>
      <c r="G156" t="s">
        <v>135</v>
      </c>
      <c r="H156" s="19">
        <v>42970</v>
      </c>
      <c r="I156" s="19">
        <v>42970</v>
      </c>
      <c r="M156" t="s">
        <v>142</v>
      </c>
      <c r="O156">
        <v>118</v>
      </c>
      <c r="T156" t="s">
        <v>67</v>
      </c>
      <c r="U156" t="s">
        <v>225</v>
      </c>
      <c r="V156" s="19">
        <v>42970</v>
      </c>
      <c r="W156" t="s">
        <v>137</v>
      </c>
      <c r="X156">
        <v>90</v>
      </c>
      <c r="Y156" s="19">
        <v>42970.320023148146</v>
      </c>
      <c r="Z156" s="19">
        <v>42970.025150462963</v>
      </c>
    </row>
    <row r="157" spans="1:26">
      <c r="A157" t="s">
        <v>133</v>
      </c>
      <c r="B157" t="s">
        <v>134</v>
      </c>
      <c r="C157">
        <v>201810</v>
      </c>
      <c r="D157">
        <v>900</v>
      </c>
      <c r="F157">
        <v>0</v>
      </c>
      <c r="G157" t="s">
        <v>135</v>
      </c>
      <c r="H157" s="19">
        <v>42970</v>
      </c>
      <c r="I157" s="19">
        <v>42970</v>
      </c>
      <c r="M157" t="s">
        <v>142</v>
      </c>
      <c r="O157">
        <v>117</v>
      </c>
      <c r="T157" t="s">
        <v>67</v>
      </c>
      <c r="U157" t="s">
        <v>229</v>
      </c>
      <c r="V157" s="19">
        <v>42970</v>
      </c>
      <c r="W157" t="s">
        <v>137</v>
      </c>
      <c r="X157">
        <v>90</v>
      </c>
      <c r="Y157" s="19">
        <v>42970.320023148146</v>
      </c>
      <c r="Z157" s="19">
        <v>42970.024837962963</v>
      </c>
    </row>
    <row r="158" spans="1:26">
      <c r="A158" t="s">
        <v>155</v>
      </c>
      <c r="B158" t="s">
        <v>156</v>
      </c>
      <c r="C158">
        <v>201810</v>
      </c>
      <c r="D158">
        <v>80</v>
      </c>
      <c r="F158">
        <v>0</v>
      </c>
      <c r="G158" t="s">
        <v>135</v>
      </c>
      <c r="H158" s="19">
        <v>42970</v>
      </c>
      <c r="I158" s="19">
        <v>42970</v>
      </c>
      <c r="M158" t="s">
        <v>142</v>
      </c>
      <c r="O158">
        <v>116</v>
      </c>
      <c r="T158" t="s">
        <v>67</v>
      </c>
      <c r="U158" t="s">
        <v>229</v>
      </c>
      <c r="V158" s="19">
        <v>42970</v>
      </c>
      <c r="W158" t="s">
        <v>137</v>
      </c>
      <c r="X158">
        <v>90</v>
      </c>
      <c r="Y158" s="19">
        <v>42970.320023148146</v>
      </c>
      <c r="Z158" s="19">
        <v>42970.024837962963</v>
      </c>
    </row>
    <row r="159" spans="1:26">
      <c r="A159" t="s">
        <v>157</v>
      </c>
      <c r="B159" t="s">
        <v>158</v>
      </c>
      <c r="C159">
        <v>201810</v>
      </c>
      <c r="D159">
        <v>100</v>
      </c>
      <c r="F159">
        <v>0</v>
      </c>
      <c r="G159" t="s">
        <v>135</v>
      </c>
      <c r="H159" s="19">
        <v>42970</v>
      </c>
      <c r="I159" s="19">
        <v>42970</v>
      </c>
      <c r="M159" t="s">
        <v>142</v>
      </c>
      <c r="O159">
        <v>115</v>
      </c>
      <c r="T159" t="s">
        <v>67</v>
      </c>
      <c r="U159" t="s">
        <v>229</v>
      </c>
      <c r="V159" s="19">
        <v>42970</v>
      </c>
      <c r="W159" t="s">
        <v>137</v>
      </c>
      <c r="X159">
        <v>90</v>
      </c>
      <c r="Y159" s="19">
        <v>42970.320023148146</v>
      </c>
      <c r="Z159" s="19">
        <v>42970.024837962963</v>
      </c>
    </row>
    <row r="160" spans="1:26">
      <c r="A160" t="s">
        <v>159</v>
      </c>
      <c r="B160" t="s">
        <v>160</v>
      </c>
      <c r="C160">
        <v>201810</v>
      </c>
      <c r="D160">
        <v>100</v>
      </c>
      <c r="F160">
        <v>0</v>
      </c>
      <c r="G160" t="s">
        <v>135</v>
      </c>
      <c r="H160" s="19">
        <v>42970</v>
      </c>
      <c r="I160" s="19">
        <v>42970</v>
      </c>
      <c r="M160" t="s">
        <v>142</v>
      </c>
      <c r="O160">
        <v>114</v>
      </c>
      <c r="T160" t="s">
        <v>67</v>
      </c>
      <c r="U160" t="s">
        <v>229</v>
      </c>
      <c r="V160" s="19">
        <v>42970</v>
      </c>
      <c r="W160" t="s">
        <v>137</v>
      </c>
      <c r="X160">
        <v>90</v>
      </c>
      <c r="Y160" s="19">
        <v>42970.320023148146</v>
      </c>
      <c r="Z160" s="19">
        <v>42970.024837962963</v>
      </c>
    </row>
    <row r="161" spans="1:26">
      <c r="A161" t="s">
        <v>161</v>
      </c>
      <c r="B161" t="s">
        <v>162</v>
      </c>
      <c r="C161">
        <v>201810</v>
      </c>
      <c r="D161">
        <v>100</v>
      </c>
      <c r="F161">
        <v>0</v>
      </c>
      <c r="G161" t="s">
        <v>135</v>
      </c>
      <c r="H161" s="19">
        <v>42970</v>
      </c>
      <c r="I161" s="19">
        <v>42970</v>
      </c>
      <c r="M161" t="s">
        <v>142</v>
      </c>
      <c r="O161">
        <v>113</v>
      </c>
      <c r="T161" t="s">
        <v>67</v>
      </c>
      <c r="U161" t="s">
        <v>229</v>
      </c>
      <c r="V161" s="19">
        <v>42970</v>
      </c>
      <c r="W161" t="s">
        <v>137</v>
      </c>
      <c r="X161">
        <v>90</v>
      </c>
      <c r="Y161" s="19">
        <v>42970.320023148146</v>
      </c>
      <c r="Z161" s="19">
        <v>42970.024837962963</v>
      </c>
    </row>
    <row r="162" spans="1:26">
      <c r="A162" t="s">
        <v>163</v>
      </c>
      <c r="B162" t="s">
        <v>164</v>
      </c>
      <c r="C162">
        <v>201810</v>
      </c>
      <c r="D162">
        <v>30</v>
      </c>
      <c r="F162">
        <v>0</v>
      </c>
      <c r="G162" t="s">
        <v>135</v>
      </c>
      <c r="H162" s="19">
        <v>42970</v>
      </c>
      <c r="I162" s="19">
        <v>42970</v>
      </c>
      <c r="M162" t="s">
        <v>142</v>
      </c>
      <c r="O162">
        <v>112</v>
      </c>
      <c r="T162" t="s">
        <v>67</v>
      </c>
      <c r="U162" t="s">
        <v>229</v>
      </c>
      <c r="V162" s="19">
        <v>42970</v>
      </c>
      <c r="W162" t="s">
        <v>137</v>
      </c>
      <c r="X162">
        <v>90</v>
      </c>
      <c r="Y162" s="19">
        <v>42970.320023148146</v>
      </c>
      <c r="Z162" s="19">
        <v>42970.024837962963</v>
      </c>
    </row>
    <row r="163" spans="1:26">
      <c r="A163" t="s">
        <v>115</v>
      </c>
      <c r="B163" t="s">
        <v>116</v>
      </c>
      <c r="C163">
        <v>201820</v>
      </c>
      <c r="E163">
        <v>3600</v>
      </c>
      <c r="F163">
        <v>0</v>
      </c>
      <c r="G163" t="s">
        <v>29</v>
      </c>
      <c r="H163" s="19">
        <v>44039.546574074076</v>
      </c>
      <c r="I163" s="19">
        <v>44039.546574074076</v>
      </c>
      <c r="O163">
        <v>250</v>
      </c>
      <c r="T163" t="s">
        <v>67</v>
      </c>
      <c r="U163" t="s">
        <v>230</v>
      </c>
      <c r="V163" s="19">
        <v>44046</v>
      </c>
      <c r="W163" t="s">
        <v>118</v>
      </c>
      <c r="X163">
        <v>5</v>
      </c>
      <c r="Y163" s="19">
        <v>44039.634409722225</v>
      </c>
      <c r="Z163" s="19">
        <v>44039.546574074076</v>
      </c>
    </row>
    <row r="164" spans="1:26">
      <c r="A164" t="s">
        <v>126</v>
      </c>
      <c r="B164" t="s">
        <v>127</v>
      </c>
      <c r="C164">
        <v>201820</v>
      </c>
      <c r="D164">
        <v>69</v>
      </c>
      <c r="F164">
        <v>0</v>
      </c>
      <c r="G164" t="s">
        <v>123</v>
      </c>
      <c r="H164" s="19">
        <v>43229</v>
      </c>
      <c r="I164" s="19">
        <v>43229</v>
      </c>
      <c r="L164">
        <v>425856</v>
      </c>
      <c r="O164">
        <v>154</v>
      </c>
      <c r="T164" t="s">
        <v>67</v>
      </c>
      <c r="U164" t="s">
        <v>231</v>
      </c>
      <c r="V164" s="19">
        <v>43230</v>
      </c>
      <c r="W164" t="s">
        <v>212</v>
      </c>
      <c r="X164">
        <v>1250</v>
      </c>
      <c r="Y164" s="19">
        <v>43229.6874537037</v>
      </c>
      <c r="Z164" s="19">
        <v>43229.632511574076</v>
      </c>
    </row>
    <row r="165" spans="1:26">
      <c r="A165" t="s">
        <v>121</v>
      </c>
      <c r="B165" t="s">
        <v>122</v>
      </c>
      <c r="C165">
        <v>201820</v>
      </c>
      <c r="E165">
        <v>69</v>
      </c>
      <c r="F165">
        <v>0</v>
      </c>
      <c r="G165" t="s">
        <v>123</v>
      </c>
      <c r="H165" s="19">
        <v>43229</v>
      </c>
      <c r="I165" s="19">
        <v>43229</v>
      </c>
      <c r="L165">
        <v>425856</v>
      </c>
      <c r="O165">
        <v>153</v>
      </c>
      <c r="T165" t="s">
        <v>67</v>
      </c>
      <c r="U165" t="s">
        <v>231</v>
      </c>
      <c r="V165" s="19">
        <v>43230</v>
      </c>
      <c r="W165" t="s">
        <v>212</v>
      </c>
      <c r="X165">
        <v>1250</v>
      </c>
      <c r="Y165" s="19">
        <v>43229.6874537037</v>
      </c>
      <c r="Z165" s="19">
        <v>43229.632395833331</v>
      </c>
    </row>
    <row r="166" spans="1:26">
      <c r="A166" t="s">
        <v>126</v>
      </c>
      <c r="B166" t="s">
        <v>127</v>
      </c>
      <c r="C166">
        <v>201820</v>
      </c>
      <c r="D166">
        <v>20</v>
      </c>
      <c r="F166">
        <v>0</v>
      </c>
      <c r="G166" t="s">
        <v>123</v>
      </c>
      <c r="H166" s="19">
        <v>43194</v>
      </c>
      <c r="I166" s="19">
        <v>43194</v>
      </c>
      <c r="L166">
        <v>423283</v>
      </c>
      <c r="O166">
        <v>152</v>
      </c>
      <c r="T166" t="s">
        <v>67</v>
      </c>
      <c r="U166" t="s">
        <v>232</v>
      </c>
      <c r="V166" s="19">
        <v>43203</v>
      </c>
      <c r="W166" t="s">
        <v>212</v>
      </c>
      <c r="X166">
        <v>1229</v>
      </c>
      <c r="Y166" s="19">
        <v>43194.683703703704</v>
      </c>
      <c r="Z166" s="19">
        <v>43194.629502314812</v>
      </c>
    </row>
    <row r="167" spans="1:26">
      <c r="A167" t="s">
        <v>121</v>
      </c>
      <c r="B167" t="s">
        <v>122</v>
      </c>
      <c r="C167">
        <v>201820</v>
      </c>
      <c r="E167">
        <v>20</v>
      </c>
      <c r="F167">
        <v>0</v>
      </c>
      <c r="G167" t="s">
        <v>123</v>
      </c>
      <c r="H167" s="19">
        <v>43194</v>
      </c>
      <c r="I167" s="19">
        <v>43194</v>
      </c>
      <c r="L167">
        <v>423283</v>
      </c>
      <c r="O167">
        <v>151</v>
      </c>
      <c r="T167" t="s">
        <v>67</v>
      </c>
      <c r="U167" t="s">
        <v>232</v>
      </c>
      <c r="V167" s="19">
        <v>43203</v>
      </c>
      <c r="W167" t="s">
        <v>212</v>
      </c>
      <c r="X167">
        <v>1229</v>
      </c>
      <c r="Y167" s="19">
        <v>43194.683703703704</v>
      </c>
      <c r="Z167" s="19">
        <v>43194.629421296297</v>
      </c>
    </row>
    <row r="168" spans="1:26">
      <c r="A168" t="s">
        <v>121</v>
      </c>
      <c r="B168" t="s">
        <v>122</v>
      </c>
      <c r="C168">
        <v>201820</v>
      </c>
      <c r="E168">
        <v>60</v>
      </c>
      <c r="F168">
        <v>0</v>
      </c>
      <c r="G168" t="s">
        <v>123</v>
      </c>
      <c r="H168" s="19">
        <v>43193</v>
      </c>
      <c r="I168" s="19">
        <v>43193</v>
      </c>
      <c r="L168">
        <v>423183</v>
      </c>
      <c r="O168">
        <v>150</v>
      </c>
      <c r="T168" t="s">
        <v>67</v>
      </c>
      <c r="U168" t="s">
        <v>233</v>
      </c>
      <c r="V168" s="19">
        <v>43203</v>
      </c>
      <c r="W168" t="s">
        <v>125</v>
      </c>
      <c r="X168">
        <v>3362</v>
      </c>
      <c r="Y168" s="19">
        <v>43193.602847222224</v>
      </c>
      <c r="Z168" s="19">
        <v>43193.56759259259</v>
      </c>
    </row>
    <row r="169" spans="1:26">
      <c r="A169" t="s">
        <v>128</v>
      </c>
      <c r="B169" t="s">
        <v>129</v>
      </c>
      <c r="C169">
        <v>201820</v>
      </c>
      <c r="D169">
        <v>60</v>
      </c>
      <c r="F169">
        <v>0</v>
      </c>
      <c r="G169" t="s">
        <v>123</v>
      </c>
      <c r="H169" s="19">
        <v>43193</v>
      </c>
      <c r="I169" s="19">
        <v>43193</v>
      </c>
      <c r="L169">
        <v>423183</v>
      </c>
      <c r="O169">
        <v>149</v>
      </c>
      <c r="T169" t="s">
        <v>67</v>
      </c>
      <c r="U169" t="s">
        <v>233</v>
      </c>
      <c r="V169" s="19">
        <v>43203</v>
      </c>
      <c r="W169" t="s">
        <v>125</v>
      </c>
      <c r="X169">
        <v>3362</v>
      </c>
      <c r="Y169" s="19">
        <v>43193.602847222224</v>
      </c>
      <c r="Z169" s="19">
        <v>43193.567557870374</v>
      </c>
    </row>
    <row r="170" spans="1:26">
      <c r="A170" t="s">
        <v>121</v>
      </c>
      <c r="B170" t="s">
        <v>122</v>
      </c>
      <c r="C170">
        <v>201820</v>
      </c>
      <c r="E170">
        <v>280</v>
      </c>
      <c r="F170">
        <v>0</v>
      </c>
      <c r="G170" t="s">
        <v>123</v>
      </c>
      <c r="H170" s="19">
        <v>43159</v>
      </c>
      <c r="I170" s="19">
        <v>43159</v>
      </c>
      <c r="L170">
        <v>420592</v>
      </c>
      <c r="O170">
        <v>146</v>
      </c>
      <c r="T170" t="s">
        <v>67</v>
      </c>
      <c r="U170" t="s">
        <v>234</v>
      </c>
      <c r="V170" s="19">
        <v>43160</v>
      </c>
      <c r="W170" t="s">
        <v>125</v>
      </c>
      <c r="X170">
        <v>3342</v>
      </c>
      <c r="Y170" s="19">
        <v>43159.611354166664</v>
      </c>
      <c r="Z170" s="19">
        <v>43159.515520833331</v>
      </c>
    </row>
    <row r="171" spans="1:26">
      <c r="A171" t="s">
        <v>203</v>
      </c>
      <c r="B171" t="s">
        <v>204</v>
      </c>
      <c r="C171">
        <v>201820</v>
      </c>
      <c r="D171">
        <v>900</v>
      </c>
      <c r="F171">
        <v>0</v>
      </c>
      <c r="G171" t="s">
        <v>135</v>
      </c>
      <c r="H171" s="19">
        <v>43116</v>
      </c>
      <c r="I171" s="19">
        <v>43116</v>
      </c>
      <c r="M171" t="s">
        <v>142</v>
      </c>
      <c r="O171">
        <v>145</v>
      </c>
      <c r="T171" t="s">
        <v>67</v>
      </c>
      <c r="U171" t="s">
        <v>235</v>
      </c>
      <c r="V171" s="19">
        <v>43119</v>
      </c>
      <c r="W171" t="s">
        <v>137</v>
      </c>
      <c r="X171">
        <v>109</v>
      </c>
      <c r="Y171" s="19">
        <v>43117.362361111111</v>
      </c>
      <c r="Z171" s="19">
        <v>43116.407592592594</v>
      </c>
    </row>
    <row r="172" spans="1:26">
      <c r="A172" t="s">
        <v>133</v>
      </c>
      <c r="B172" t="s">
        <v>134</v>
      </c>
      <c r="C172">
        <v>201820</v>
      </c>
      <c r="D172">
        <v>900</v>
      </c>
      <c r="F172">
        <v>0</v>
      </c>
      <c r="G172" t="s">
        <v>135</v>
      </c>
      <c r="H172" s="19">
        <v>43116</v>
      </c>
      <c r="I172" s="19">
        <v>43116</v>
      </c>
      <c r="M172" t="s">
        <v>142</v>
      </c>
      <c r="O172">
        <v>144</v>
      </c>
      <c r="T172" t="s">
        <v>67</v>
      </c>
      <c r="U172" t="s">
        <v>235</v>
      </c>
      <c r="V172" s="19">
        <v>43119</v>
      </c>
      <c r="W172" t="s">
        <v>137</v>
      </c>
      <c r="X172">
        <v>109</v>
      </c>
      <c r="Y172" s="19">
        <v>43117.362361111111</v>
      </c>
      <c r="Z172" s="19">
        <v>43116.4059375</v>
      </c>
    </row>
    <row r="173" spans="1:26">
      <c r="A173" t="s">
        <v>203</v>
      </c>
      <c r="B173" t="s">
        <v>204</v>
      </c>
      <c r="C173">
        <v>201820</v>
      </c>
      <c r="D173">
        <v>900</v>
      </c>
      <c r="F173">
        <v>0</v>
      </c>
      <c r="G173" t="s">
        <v>135</v>
      </c>
      <c r="H173" s="19">
        <v>43116</v>
      </c>
      <c r="I173" s="19">
        <v>43116</v>
      </c>
      <c r="M173" t="s">
        <v>142</v>
      </c>
      <c r="O173">
        <v>143</v>
      </c>
      <c r="T173" t="s">
        <v>67</v>
      </c>
      <c r="U173" t="s">
        <v>236</v>
      </c>
      <c r="V173" s="19">
        <v>43119</v>
      </c>
      <c r="W173" t="s">
        <v>137</v>
      </c>
      <c r="X173">
        <v>109</v>
      </c>
      <c r="Y173" s="19">
        <v>43117.362361111111</v>
      </c>
      <c r="Z173" s="19">
        <v>43116.403958333336</v>
      </c>
    </row>
    <row r="174" spans="1:26">
      <c r="A174" t="s">
        <v>177</v>
      </c>
      <c r="B174" t="s">
        <v>178</v>
      </c>
      <c r="C174">
        <v>201820</v>
      </c>
      <c r="D174">
        <v>900</v>
      </c>
      <c r="F174">
        <v>0</v>
      </c>
      <c r="G174" t="s">
        <v>135</v>
      </c>
      <c r="H174" s="19">
        <v>43116</v>
      </c>
      <c r="I174" s="19">
        <v>43116</v>
      </c>
      <c r="M174" t="s">
        <v>142</v>
      </c>
      <c r="O174">
        <v>142</v>
      </c>
      <c r="T174" t="s">
        <v>67</v>
      </c>
      <c r="U174" t="s">
        <v>236</v>
      </c>
      <c r="V174" s="19">
        <v>43119</v>
      </c>
      <c r="W174" t="s">
        <v>137</v>
      </c>
      <c r="X174">
        <v>109</v>
      </c>
      <c r="Y174" s="19">
        <v>43117.362361111111</v>
      </c>
      <c r="Z174" s="19">
        <v>43116.399016203701</v>
      </c>
    </row>
    <row r="175" spans="1:26">
      <c r="A175" t="s">
        <v>155</v>
      </c>
      <c r="B175" t="s">
        <v>156</v>
      </c>
      <c r="C175">
        <v>201820</v>
      </c>
      <c r="D175">
        <v>80</v>
      </c>
      <c r="F175">
        <v>0</v>
      </c>
      <c r="G175" t="s">
        <v>135</v>
      </c>
      <c r="H175" s="19">
        <v>43116</v>
      </c>
      <c r="I175" s="19">
        <v>43116</v>
      </c>
      <c r="M175" t="s">
        <v>142</v>
      </c>
      <c r="O175">
        <v>141</v>
      </c>
      <c r="T175" t="s">
        <v>67</v>
      </c>
      <c r="U175" t="s">
        <v>236</v>
      </c>
      <c r="V175" s="19">
        <v>43119</v>
      </c>
      <c r="W175" t="s">
        <v>137</v>
      </c>
      <c r="X175">
        <v>109</v>
      </c>
      <c r="Y175" s="19">
        <v>43117.362361111111</v>
      </c>
      <c r="Z175" s="19">
        <v>43116.399016203701</v>
      </c>
    </row>
    <row r="176" spans="1:26">
      <c r="A176" t="s">
        <v>157</v>
      </c>
      <c r="B176" t="s">
        <v>158</v>
      </c>
      <c r="C176">
        <v>201820</v>
      </c>
      <c r="D176">
        <v>100</v>
      </c>
      <c r="F176">
        <v>0</v>
      </c>
      <c r="G176" t="s">
        <v>135</v>
      </c>
      <c r="H176" s="19">
        <v>43116</v>
      </c>
      <c r="I176" s="19">
        <v>43116</v>
      </c>
      <c r="M176" t="s">
        <v>142</v>
      </c>
      <c r="O176">
        <v>140</v>
      </c>
      <c r="T176" t="s">
        <v>67</v>
      </c>
      <c r="U176" t="s">
        <v>236</v>
      </c>
      <c r="V176" s="19">
        <v>43119</v>
      </c>
      <c r="W176" t="s">
        <v>137</v>
      </c>
      <c r="X176">
        <v>109</v>
      </c>
      <c r="Y176" s="19">
        <v>43117.362361111111</v>
      </c>
      <c r="Z176" s="19">
        <v>43116.399016203701</v>
      </c>
    </row>
    <row r="177" spans="1:26">
      <c r="A177" t="s">
        <v>161</v>
      </c>
      <c r="B177" t="s">
        <v>162</v>
      </c>
      <c r="C177">
        <v>201820</v>
      </c>
      <c r="D177">
        <v>100</v>
      </c>
      <c r="F177">
        <v>0</v>
      </c>
      <c r="G177" t="s">
        <v>135</v>
      </c>
      <c r="H177" s="19">
        <v>43116</v>
      </c>
      <c r="I177" s="19">
        <v>43116</v>
      </c>
      <c r="M177" t="s">
        <v>142</v>
      </c>
      <c r="O177">
        <v>139</v>
      </c>
      <c r="T177" t="s">
        <v>67</v>
      </c>
      <c r="U177" t="s">
        <v>236</v>
      </c>
      <c r="V177" s="19">
        <v>43119</v>
      </c>
      <c r="W177" t="s">
        <v>137</v>
      </c>
      <c r="X177">
        <v>109</v>
      </c>
      <c r="Y177" s="19">
        <v>43117.362361111111</v>
      </c>
      <c r="Z177" s="19">
        <v>43116.399016203701</v>
      </c>
    </row>
    <row r="178" spans="1:26">
      <c r="A178" t="s">
        <v>161</v>
      </c>
      <c r="B178" t="s">
        <v>237</v>
      </c>
      <c r="C178">
        <v>201830</v>
      </c>
      <c r="D178">
        <v>-100</v>
      </c>
      <c r="F178">
        <v>0</v>
      </c>
      <c r="G178" t="s">
        <v>123</v>
      </c>
      <c r="H178" s="19">
        <v>45020.532916666663</v>
      </c>
      <c r="I178" s="19">
        <v>45020.532916666663</v>
      </c>
      <c r="O178">
        <v>291</v>
      </c>
      <c r="T178" t="s">
        <v>67</v>
      </c>
      <c r="U178" t="s">
        <v>238</v>
      </c>
      <c r="V178" s="19">
        <v>45020</v>
      </c>
      <c r="W178" t="s">
        <v>118</v>
      </c>
      <c r="X178">
        <v>147</v>
      </c>
      <c r="Y178" s="19">
        <v>45020.883148148147</v>
      </c>
      <c r="Z178" s="19">
        <v>45020.532893518517</v>
      </c>
    </row>
    <row r="179" spans="1:26">
      <c r="A179" t="s">
        <v>157</v>
      </c>
      <c r="B179" t="s">
        <v>239</v>
      </c>
      <c r="C179">
        <v>201830</v>
      </c>
      <c r="D179">
        <v>-100</v>
      </c>
      <c r="F179">
        <v>0</v>
      </c>
      <c r="G179" t="s">
        <v>123</v>
      </c>
      <c r="H179" s="19">
        <v>45020.532673611109</v>
      </c>
      <c r="I179" s="19">
        <v>45020.532673611109</v>
      </c>
      <c r="O179">
        <v>290</v>
      </c>
      <c r="T179" t="s">
        <v>67</v>
      </c>
      <c r="U179" t="s">
        <v>238</v>
      </c>
      <c r="V179" s="19">
        <v>45020</v>
      </c>
      <c r="W179" t="s">
        <v>118</v>
      </c>
      <c r="X179">
        <v>147</v>
      </c>
      <c r="Y179" s="19">
        <v>45020.883148148147</v>
      </c>
      <c r="Z179" s="19">
        <v>45020.532638888886</v>
      </c>
    </row>
    <row r="180" spans="1:26">
      <c r="A180" t="s">
        <v>155</v>
      </c>
      <c r="B180" t="s">
        <v>240</v>
      </c>
      <c r="C180">
        <v>201830</v>
      </c>
      <c r="D180">
        <v>-80</v>
      </c>
      <c r="F180">
        <v>0</v>
      </c>
      <c r="G180" t="s">
        <v>123</v>
      </c>
      <c r="H180" s="19">
        <v>45020.532476851855</v>
      </c>
      <c r="I180" s="19">
        <v>45020.532476851855</v>
      </c>
      <c r="O180">
        <v>289</v>
      </c>
      <c r="T180" t="s">
        <v>67</v>
      </c>
      <c r="U180" t="s">
        <v>238</v>
      </c>
      <c r="V180" s="19">
        <v>45020</v>
      </c>
      <c r="W180" t="s">
        <v>118</v>
      </c>
      <c r="X180">
        <v>147</v>
      </c>
      <c r="Y180" s="19">
        <v>45020.883148148147</v>
      </c>
      <c r="Z180" s="19">
        <v>45020.532442129632</v>
      </c>
    </row>
    <row r="181" spans="1:26">
      <c r="A181" t="s">
        <v>177</v>
      </c>
      <c r="B181" t="s">
        <v>178</v>
      </c>
      <c r="C181">
        <v>201830</v>
      </c>
      <c r="D181">
        <v>-300</v>
      </c>
      <c r="F181">
        <v>0</v>
      </c>
      <c r="G181" t="s">
        <v>135</v>
      </c>
      <c r="H181" s="19">
        <v>43261</v>
      </c>
      <c r="I181" s="19">
        <v>43261</v>
      </c>
      <c r="M181" t="s">
        <v>142</v>
      </c>
      <c r="O181">
        <v>159</v>
      </c>
      <c r="T181" t="s">
        <v>67</v>
      </c>
      <c r="U181" t="s">
        <v>241</v>
      </c>
      <c r="V181" s="19">
        <v>43369</v>
      </c>
      <c r="W181" t="s">
        <v>137</v>
      </c>
      <c r="X181">
        <v>124</v>
      </c>
      <c r="Y181" s="19">
        <v>43360.999398148146</v>
      </c>
      <c r="Z181" s="19">
        <v>43261.910173611112</v>
      </c>
    </row>
    <row r="182" spans="1:26">
      <c r="A182" t="s">
        <v>177</v>
      </c>
      <c r="B182" t="s">
        <v>178</v>
      </c>
      <c r="C182">
        <v>201830</v>
      </c>
      <c r="D182">
        <v>300</v>
      </c>
      <c r="F182">
        <v>0</v>
      </c>
      <c r="G182" t="s">
        <v>135</v>
      </c>
      <c r="H182" s="19">
        <v>43258</v>
      </c>
      <c r="I182" s="19">
        <v>43258</v>
      </c>
      <c r="M182" t="s">
        <v>142</v>
      </c>
      <c r="O182">
        <v>158</v>
      </c>
      <c r="T182" t="s">
        <v>67</v>
      </c>
      <c r="U182" t="s">
        <v>241</v>
      </c>
      <c r="V182" s="19">
        <v>43369</v>
      </c>
      <c r="W182" t="s">
        <v>137</v>
      </c>
      <c r="X182">
        <v>124</v>
      </c>
      <c r="Y182" s="19">
        <v>43360.999398148146</v>
      </c>
      <c r="Z182" s="19">
        <v>43258.408946759257</v>
      </c>
    </row>
    <row r="183" spans="1:26">
      <c r="A183" t="s">
        <v>155</v>
      </c>
      <c r="B183" t="s">
        <v>156</v>
      </c>
      <c r="C183">
        <v>201830</v>
      </c>
      <c r="D183">
        <v>80</v>
      </c>
      <c r="F183">
        <v>0</v>
      </c>
      <c r="G183" t="s">
        <v>135</v>
      </c>
      <c r="H183" s="19">
        <v>43258</v>
      </c>
      <c r="I183" s="19">
        <v>43258</v>
      </c>
      <c r="M183" t="s">
        <v>142</v>
      </c>
      <c r="O183">
        <v>157</v>
      </c>
      <c r="T183" t="s">
        <v>67</v>
      </c>
      <c r="U183" t="s">
        <v>241</v>
      </c>
      <c r="V183" s="19">
        <v>43369</v>
      </c>
      <c r="W183" t="s">
        <v>137</v>
      </c>
      <c r="X183">
        <v>124</v>
      </c>
      <c r="Y183" s="19">
        <v>43360.999398148146</v>
      </c>
      <c r="Z183" s="19">
        <v>43258.408946759257</v>
      </c>
    </row>
    <row r="184" spans="1:26">
      <c r="A184" t="s">
        <v>157</v>
      </c>
      <c r="B184" t="s">
        <v>158</v>
      </c>
      <c r="C184">
        <v>201830</v>
      </c>
      <c r="D184">
        <v>100</v>
      </c>
      <c r="F184">
        <v>0</v>
      </c>
      <c r="G184" t="s">
        <v>135</v>
      </c>
      <c r="H184" s="19">
        <v>43258</v>
      </c>
      <c r="I184" s="19">
        <v>43258</v>
      </c>
      <c r="M184" t="s">
        <v>142</v>
      </c>
      <c r="O184">
        <v>156</v>
      </c>
      <c r="T184" t="s">
        <v>67</v>
      </c>
      <c r="U184" t="s">
        <v>241</v>
      </c>
      <c r="V184" s="19">
        <v>43369</v>
      </c>
      <c r="W184" t="s">
        <v>137</v>
      </c>
      <c r="X184">
        <v>124</v>
      </c>
      <c r="Y184" s="19">
        <v>43360.999398148146</v>
      </c>
      <c r="Z184" s="19">
        <v>43258.408946759257</v>
      </c>
    </row>
    <row r="185" spans="1:26">
      <c r="A185" t="s">
        <v>161</v>
      </c>
      <c r="B185" t="s">
        <v>162</v>
      </c>
      <c r="C185">
        <v>201830</v>
      </c>
      <c r="D185">
        <v>100</v>
      </c>
      <c r="F185">
        <v>0</v>
      </c>
      <c r="G185" t="s">
        <v>135</v>
      </c>
      <c r="H185" s="19">
        <v>43258</v>
      </c>
      <c r="I185" s="19">
        <v>43258</v>
      </c>
      <c r="M185" t="s">
        <v>142</v>
      </c>
      <c r="O185">
        <v>155</v>
      </c>
      <c r="T185" t="s">
        <v>67</v>
      </c>
      <c r="U185" t="s">
        <v>241</v>
      </c>
      <c r="V185" s="19">
        <v>43369</v>
      </c>
      <c r="W185" t="s">
        <v>137</v>
      </c>
      <c r="X185">
        <v>124</v>
      </c>
      <c r="Y185" s="19">
        <v>43360.999398148146</v>
      </c>
      <c r="Z185" s="19">
        <v>43258.408946759257</v>
      </c>
    </row>
    <row r="186" spans="1:26">
      <c r="A186" t="s">
        <v>115</v>
      </c>
      <c r="B186" t="s">
        <v>116</v>
      </c>
      <c r="C186">
        <v>201910</v>
      </c>
      <c r="E186">
        <v>3600</v>
      </c>
      <c r="F186">
        <v>0</v>
      </c>
      <c r="G186" t="s">
        <v>29</v>
      </c>
      <c r="H186" s="19">
        <v>44039.542615740742</v>
      </c>
      <c r="I186" s="19">
        <v>44039.542615740742</v>
      </c>
      <c r="O186">
        <v>248</v>
      </c>
      <c r="T186" t="s">
        <v>67</v>
      </c>
      <c r="U186" t="s">
        <v>242</v>
      </c>
      <c r="V186" s="19">
        <v>44046</v>
      </c>
      <c r="W186" t="s">
        <v>118</v>
      </c>
      <c r="X186">
        <v>5</v>
      </c>
      <c r="Y186" s="19">
        <v>44039.634409722225</v>
      </c>
      <c r="Z186" s="19">
        <v>44039.542615740742</v>
      </c>
    </row>
    <row r="187" spans="1:26">
      <c r="A187" t="s">
        <v>128</v>
      </c>
      <c r="B187" t="s">
        <v>129</v>
      </c>
      <c r="C187">
        <v>201910</v>
      </c>
      <c r="D187">
        <v>1</v>
      </c>
      <c r="F187">
        <v>0</v>
      </c>
      <c r="G187" t="s">
        <v>123</v>
      </c>
      <c r="H187" s="19">
        <v>43467.545289351852</v>
      </c>
      <c r="I187" s="19">
        <v>43467.545289351852</v>
      </c>
      <c r="L187">
        <v>446399</v>
      </c>
      <c r="O187">
        <v>195</v>
      </c>
      <c r="T187" t="s">
        <v>67</v>
      </c>
      <c r="U187" t="s">
        <v>243</v>
      </c>
      <c r="V187" s="19">
        <v>43468</v>
      </c>
      <c r="W187" t="s">
        <v>125</v>
      </c>
      <c r="X187">
        <v>3488</v>
      </c>
      <c r="Y187" s="19">
        <v>43467.616030092591</v>
      </c>
      <c r="Z187" s="19">
        <v>43467.545324074075</v>
      </c>
    </row>
    <row r="188" spans="1:26">
      <c r="A188" t="s">
        <v>121</v>
      </c>
      <c r="B188" t="s">
        <v>122</v>
      </c>
      <c r="C188">
        <v>201910</v>
      </c>
      <c r="E188">
        <v>1</v>
      </c>
      <c r="F188">
        <v>0</v>
      </c>
      <c r="G188" t="s">
        <v>123</v>
      </c>
      <c r="H188" s="19">
        <v>43467.545254629629</v>
      </c>
      <c r="I188" s="19">
        <v>43467.545254629629</v>
      </c>
      <c r="L188">
        <v>446399</v>
      </c>
      <c r="O188">
        <v>194</v>
      </c>
      <c r="T188" t="s">
        <v>67</v>
      </c>
      <c r="U188" t="s">
        <v>243</v>
      </c>
      <c r="V188" s="19">
        <v>43468</v>
      </c>
      <c r="W188" t="s">
        <v>125</v>
      </c>
      <c r="X188">
        <v>3488</v>
      </c>
      <c r="Y188" s="19">
        <v>43467.616030092591</v>
      </c>
      <c r="Z188" s="19">
        <v>43467.545324074075</v>
      </c>
    </row>
    <row r="189" spans="1:26">
      <c r="A189" t="s">
        <v>126</v>
      </c>
      <c r="B189" t="s">
        <v>127</v>
      </c>
      <c r="C189">
        <v>201910</v>
      </c>
      <c r="D189">
        <v>6</v>
      </c>
      <c r="F189">
        <v>0</v>
      </c>
      <c r="G189" t="s">
        <v>123</v>
      </c>
      <c r="H189" s="19">
        <v>43409</v>
      </c>
      <c r="I189" s="19">
        <v>43409</v>
      </c>
      <c r="L189">
        <v>442680</v>
      </c>
      <c r="O189">
        <v>193</v>
      </c>
      <c r="T189" t="s">
        <v>67</v>
      </c>
      <c r="U189" t="s">
        <v>244</v>
      </c>
      <c r="V189" s="19">
        <v>43412</v>
      </c>
      <c r="W189" t="s">
        <v>245</v>
      </c>
      <c r="X189">
        <v>82</v>
      </c>
      <c r="Y189" s="19">
        <v>43409.611990740741</v>
      </c>
      <c r="Z189" s="19">
        <v>43409.514826388891</v>
      </c>
    </row>
    <row r="190" spans="1:26">
      <c r="A190" t="s">
        <v>121</v>
      </c>
      <c r="B190" t="s">
        <v>122</v>
      </c>
      <c r="C190">
        <v>201910</v>
      </c>
      <c r="E190">
        <v>6</v>
      </c>
      <c r="F190">
        <v>0</v>
      </c>
      <c r="G190" t="s">
        <v>123</v>
      </c>
      <c r="H190" s="19">
        <v>43409</v>
      </c>
      <c r="I190" s="19">
        <v>43409</v>
      </c>
      <c r="L190">
        <v>442680</v>
      </c>
      <c r="O190">
        <v>192</v>
      </c>
      <c r="T190" t="s">
        <v>67</v>
      </c>
      <c r="U190" t="s">
        <v>244</v>
      </c>
      <c r="V190" s="19">
        <v>43412</v>
      </c>
      <c r="W190" t="s">
        <v>245</v>
      </c>
      <c r="X190">
        <v>82</v>
      </c>
      <c r="Y190" s="19">
        <v>43409.611990740741</v>
      </c>
      <c r="Z190" s="19">
        <v>43409.514687499999</v>
      </c>
    </row>
    <row r="191" spans="1:26">
      <c r="A191" t="s">
        <v>128</v>
      </c>
      <c r="B191" t="s">
        <v>129</v>
      </c>
      <c r="C191">
        <v>201910</v>
      </c>
      <c r="D191">
        <v>10</v>
      </c>
      <c r="F191">
        <v>0</v>
      </c>
      <c r="G191" t="s">
        <v>123</v>
      </c>
      <c r="H191" s="19">
        <v>43389</v>
      </c>
      <c r="I191" s="19">
        <v>43389</v>
      </c>
      <c r="L191">
        <v>440198</v>
      </c>
      <c r="O191">
        <v>191</v>
      </c>
      <c r="T191" t="s">
        <v>67</v>
      </c>
      <c r="U191" t="s">
        <v>246</v>
      </c>
      <c r="V191" s="19">
        <v>43391</v>
      </c>
      <c r="W191" t="s">
        <v>247</v>
      </c>
      <c r="X191">
        <v>47</v>
      </c>
      <c r="Y191" s="19">
        <v>43389.594143518516</v>
      </c>
      <c r="Z191" s="19">
        <v>43389.575416666667</v>
      </c>
    </row>
    <row r="192" spans="1:26">
      <c r="A192" t="s">
        <v>121</v>
      </c>
      <c r="B192" t="s">
        <v>122</v>
      </c>
      <c r="C192">
        <v>201910</v>
      </c>
      <c r="E192">
        <v>10</v>
      </c>
      <c r="F192">
        <v>0</v>
      </c>
      <c r="G192" t="s">
        <v>123</v>
      </c>
      <c r="H192" s="19">
        <v>43389</v>
      </c>
      <c r="I192" s="19">
        <v>43389</v>
      </c>
      <c r="L192">
        <v>440198</v>
      </c>
      <c r="O192">
        <v>190</v>
      </c>
      <c r="T192" t="s">
        <v>67</v>
      </c>
      <c r="U192" t="s">
        <v>246</v>
      </c>
      <c r="V192" s="19">
        <v>43391</v>
      </c>
      <c r="W192" t="s">
        <v>247</v>
      </c>
      <c r="X192">
        <v>47</v>
      </c>
      <c r="Y192" s="19">
        <v>43389.594143518516</v>
      </c>
      <c r="Z192" s="19">
        <v>43389.575370370374</v>
      </c>
    </row>
    <row r="193" spans="1:26">
      <c r="A193" t="s">
        <v>126</v>
      </c>
      <c r="B193" t="s">
        <v>127</v>
      </c>
      <c r="C193">
        <v>201910</v>
      </c>
      <c r="D193">
        <v>15</v>
      </c>
      <c r="F193">
        <v>0</v>
      </c>
      <c r="G193" t="s">
        <v>123</v>
      </c>
      <c r="H193" s="19">
        <v>43389</v>
      </c>
      <c r="I193" s="19">
        <v>43389</v>
      </c>
      <c r="L193">
        <v>440197</v>
      </c>
      <c r="O193">
        <v>189</v>
      </c>
      <c r="T193" t="s">
        <v>67</v>
      </c>
      <c r="U193" t="s">
        <v>246</v>
      </c>
      <c r="V193" s="19">
        <v>43391</v>
      </c>
      <c r="W193" t="s">
        <v>247</v>
      </c>
      <c r="X193">
        <v>47</v>
      </c>
      <c r="Y193" s="19">
        <v>43389.594143518516</v>
      </c>
      <c r="Z193" s="19">
        <v>43389.575208333335</v>
      </c>
    </row>
    <row r="194" spans="1:26">
      <c r="A194" t="s">
        <v>121</v>
      </c>
      <c r="B194" t="s">
        <v>122</v>
      </c>
      <c r="C194">
        <v>201910</v>
      </c>
      <c r="E194">
        <v>15</v>
      </c>
      <c r="F194">
        <v>0</v>
      </c>
      <c r="G194" t="s">
        <v>123</v>
      </c>
      <c r="H194" s="19">
        <v>43389</v>
      </c>
      <c r="I194" s="19">
        <v>43389</v>
      </c>
      <c r="L194">
        <v>440197</v>
      </c>
      <c r="O194">
        <v>188</v>
      </c>
      <c r="T194" t="s">
        <v>67</v>
      </c>
      <c r="U194" t="s">
        <v>246</v>
      </c>
      <c r="V194" s="19">
        <v>43391</v>
      </c>
      <c r="W194" t="s">
        <v>247</v>
      </c>
      <c r="X194">
        <v>47</v>
      </c>
      <c r="Y194" s="19">
        <v>43389.594143518516</v>
      </c>
      <c r="Z194" s="19">
        <v>43389.575138888889</v>
      </c>
    </row>
    <row r="195" spans="1:26">
      <c r="A195" t="s">
        <v>126</v>
      </c>
      <c r="B195" t="s">
        <v>127</v>
      </c>
      <c r="C195">
        <v>201910</v>
      </c>
      <c r="D195">
        <v>5</v>
      </c>
      <c r="F195">
        <v>0</v>
      </c>
      <c r="G195" t="s">
        <v>123</v>
      </c>
      <c r="H195" s="19">
        <v>43389</v>
      </c>
      <c r="I195" s="19">
        <v>43389</v>
      </c>
      <c r="L195">
        <v>440195</v>
      </c>
      <c r="O195">
        <v>187</v>
      </c>
      <c r="T195" t="s">
        <v>67</v>
      </c>
      <c r="U195" t="s">
        <v>246</v>
      </c>
      <c r="V195" s="19">
        <v>43391</v>
      </c>
      <c r="W195" t="s">
        <v>247</v>
      </c>
      <c r="X195">
        <v>47</v>
      </c>
      <c r="Y195" s="19">
        <v>43389.594143518516</v>
      </c>
      <c r="Z195" s="19">
        <v>43389.574884259258</v>
      </c>
    </row>
    <row r="196" spans="1:26">
      <c r="A196" t="s">
        <v>121</v>
      </c>
      <c r="B196" t="s">
        <v>122</v>
      </c>
      <c r="C196">
        <v>201910</v>
      </c>
      <c r="E196">
        <v>5</v>
      </c>
      <c r="F196">
        <v>0</v>
      </c>
      <c r="G196" t="s">
        <v>123</v>
      </c>
      <c r="H196" s="19">
        <v>43389</v>
      </c>
      <c r="I196" s="19">
        <v>43389</v>
      </c>
      <c r="L196">
        <v>440195</v>
      </c>
      <c r="O196">
        <v>186</v>
      </c>
      <c r="T196" t="s">
        <v>67</v>
      </c>
      <c r="U196" t="s">
        <v>246</v>
      </c>
      <c r="V196" s="19">
        <v>43391</v>
      </c>
      <c r="W196" t="s">
        <v>247</v>
      </c>
      <c r="X196">
        <v>47</v>
      </c>
      <c r="Y196" s="19">
        <v>43389.594143518516</v>
      </c>
      <c r="Z196" s="19">
        <v>43389.57472222222</v>
      </c>
    </row>
    <row r="197" spans="1:26">
      <c r="A197" t="s">
        <v>128</v>
      </c>
      <c r="B197" t="s">
        <v>129</v>
      </c>
      <c r="C197">
        <v>201910</v>
      </c>
      <c r="D197">
        <v>20</v>
      </c>
      <c r="F197">
        <v>0</v>
      </c>
      <c r="G197" t="s">
        <v>123</v>
      </c>
      <c r="H197" s="19">
        <v>43375</v>
      </c>
      <c r="I197" s="19">
        <v>43375</v>
      </c>
      <c r="L197">
        <v>439154</v>
      </c>
      <c r="O197">
        <v>185</v>
      </c>
      <c r="T197" t="s">
        <v>67</v>
      </c>
      <c r="U197" t="s">
        <v>248</v>
      </c>
      <c r="V197" s="19">
        <v>43376</v>
      </c>
      <c r="W197" t="s">
        <v>245</v>
      </c>
      <c r="X197">
        <v>51</v>
      </c>
      <c r="Y197" s="19">
        <v>43375.614178240743</v>
      </c>
      <c r="Z197" s="19">
        <v>43375.58792824074</v>
      </c>
    </row>
    <row r="198" spans="1:26">
      <c r="A198" t="s">
        <v>121</v>
      </c>
      <c r="B198" t="s">
        <v>122</v>
      </c>
      <c r="C198">
        <v>201910</v>
      </c>
      <c r="E198">
        <v>20</v>
      </c>
      <c r="F198">
        <v>0</v>
      </c>
      <c r="G198" t="s">
        <v>123</v>
      </c>
      <c r="H198" s="19">
        <v>43375</v>
      </c>
      <c r="I198" s="19">
        <v>43375</v>
      </c>
      <c r="L198">
        <v>439154</v>
      </c>
      <c r="O198">
        <v>184</v>
      </c>
      <c r="T198" t="s">
        <v>67</v>
      </c>
      <c r="U198" t="s">
        <v>248</v>
      </c>
      <c r="V198" s="19">
        <v>43376</v>
      </c>
      <c r="W198" t="s">
        <v>245</v>
      </c>
      <c r="X198">
        <v>51</v>
      </c>
      <c r="Y198" s="19">
        <v>43375.614178240743</v>
      </c>
      <c r="Z198" s="19">
        <v>43375.587754629632</v>
      </c>
    </row>
    <row r="199" spans="1:26">
      <c r="A199" t="s">
        <v>139</v>
      </c>
      <c r="B199" t="s">
        <v>140</v>
      </c>
      <c r="C199">
        <v>201910</v>
      </c>
      <c r="E199">
        <v>410</v>
      </c>
      <c r="F199">
        <v>0</v>
      </c>
      <c r="G199" t="s">
        <v>123</v>
      </c>
      <c r="H199" s="19">
        <v>43369</v>
      </c>
      <c r="I199" s="19">
        <v>43369</v>
      </c>
      <c r="L199">
        <v>437224</v>
      </c>
      <c r="O199">
        <v>183</v>
      </c>
      <c r="T199" t="s">
        <v>67</v>
      </c>
      <c r="U199" t="s">
        <v>249</v>
      </c>
      <c r="V199" s="19">
        <v>43370</v>
      </c>
      <c r="W199" t="s">
        <v>247</v>
      </c>
      <c r="X199">
        <v>22</v>
      </c>
      <c r="Y199" s="19">
        <v>43369.673321759263</v>
      </c>
      <c r="Z199" s="19">
        <v>43369.663715277777</v>
      </c>
    </row>
    <row r="200" spans="1:26">
      <c r="A200" t="s">
        <v>177</v>
      </c>
      <c r="B200" t="s">
        <v>178</v>
      </c>
      <c r="C200">
        <v>201910</v>
      </c>
      <c r="D200">
        <v>-300</v>
      </c>
      <c r="F200">
        <v>0</v>
      </c>
      <c r="G200" t="s">
        <v>135</v>
      </c>
      <c r="H200" s="19">
        <v>43353</v>
      </c>
      <c r="I200" s="19">
        <v>43353</v>
      </c>
      <c r="O200">
        <v>182</v>
      </c>
      <c r="T200" t="s">
        <v>67</v>
      </c>
      <c r="U200" t="s">
        <v>250</v>
      </c>
      <c r="V200" s="19">
        <v>43369</v>
      </c>
      <c r="W200" t="s">
        <v>137</v>
      </c>
      <c r="X200">
        <v>124</v>
      </c>
      <c r="Y200" s="19">
        <v>43360.999398148146</v>
      </c>
      <c r="Z200" s="19">
        <v>43353.363576388889</v>
      </c>
    </row>
    <row r="201" spans="1:26">
      <c r="A201" t="s">
        <v>177</v>
      </c>
      <c r="B201" t="s">
        <v>178</v>
      </c>
      <c r="C201">
        <v>201910</v>
      </c>
      <c r="D201">
        <v>300</v>
      </c>
      <c r="F201">
        <v>0</v>
      </c>
      <c r="G201" t="s">
        <v>135</v>
      </c>
      <c r="H201" s="19">
        <v>43349</v>
      </c>
      <c r="I201" s="19">
        <v>43349</v>
      </c>
      <c r="O201">
        <v>181</v>
      </c>
      <c r="T201" t="s">
        <v>67</v>
      </c>
      <c r="U201" t="s">
        <v>250</v>
      </c>
      <c r="V201" s="19">
        <v>43369</v>
      </c>
      <c r="W201" t="s">
        <v>137</v>
      </c>
      <c r="X201">
        <v>124</v>
      </c>
      <c r="Y201" s="19">
        <v>43360.999398148146</v>
      </c>
      <c r="Z201" s="19">
        <v>43349.882534722223</v>
      </c>
    </row>
    <row r="202" spans="1:26">
      <c r="A202" t="s">
        <v>177</v>
      </c>
      <c r="B202" t="s">
        <v>178</v>
      </c>
      <c r="C202">
        <v>201910</v>
      </c>
      <c r="D202">
        <v>900</v>
      </c>
      <c r="F202">
        <v>0</v>
      </c>
      <c r="G202" t="s">
        <v>135</v>
      </c>
      <c r="H202" s="19">
        <v>43349</v>
      </c>
      <c r="I202" s="19">
        <v>43349</v>
      </c>
      <c r="O202">
        <v>180</v>
      </c>
      <c r="T202" t="s">
        <v>67</v>
      </c>
      <c r="U202" t="s">
        <v>250</v>
      </c>
      <c r="V202" s="19">
        <v>43369</v>
      </c>
      <c r="W202" t="s">
        <v>137</v>
      </c>
      <c r="X202">
        <v>124</v>
      </c>
      <c r="Y202" s="19">
        <v>43360.999398148146</v>
      </c>
      <c r="Z202" s="19">
        <v>43349.880543981482</v>
      </c>
    </row>
    <row r="203" spans="1:26">
      <c r="A203" t="s">
        <v>177</v>
      </c>
      <c r="B203" t="s">
        <v>178</v>
      </c>
      <c r="C203">
        <v>201910</v>
      </c>
      <c r="D203">
        <v>-900</v>
      </c>
      <c r="F203">
        <v>0</v>
      </c>
      <c r="G203" t="s">
        <v>135</v>
      </c>
      <c r="H203" s="19">
        <v>43349</v>
      </c>
      <c r="I203" s="19">
        <v>43349</v>
      </c>
      <c r="O203">
        <v>179</v>
      </c>
      <c r="T203" t="s">
        <v>67</v>
      </c>
      <c r="U203" t="s">
        <v>250</v>
      </c>
      <c r="V203" s="19">
        <v>43369</v>
      </c>
      <c r="W203" t="s">
        <v>137</v>
      </c>
      <c r="X203">
        <v>124</v>
      </c>
      <c r="Y203" s="19">
        <v>43360.999398148146</v>
      </c>
      <c r="Z203" s="19">
        <v>43349.861516203702</v>
      </c>
    </row>
    <row r="204" spans="1:26">
      <c r="A204" t="s">
        <v>177</v>
      </c>
      <c r="B204" t="s">
        <v>178</v>
      </c>
      <c r="C204">
        <v>201910</v>
      </c>
      <c r="D204">
        <v>-900</v>
      </c>
      <c r="F204">
        <v>0</v>
      </c>
      <c r="G204" t="s">
        <v>135</v>
      </c>
      <c r="H204" s="19">
        <v>43348</v>
      </c>
      <c r="I204" s="19">
        <v>43348</v>
      </c>
      <c r="O204">
        <v>178</v>
      </c>
      <c r="T204" t="s">
        <v>67</v>
      </c>
      <c r="U204" t="s">
        <v>250</v>
      </c>
      <c r="V204" s="19">
        <v>43369</v>
      </c>
      <c r="W204" t="s">
        <v>137</v>
      </c>
      <c r="X204">
        <v>124</v>
      </c>
      <c r="Y204" s="19">
        <v>43360.999398148146</v>
      </c>
      <c r="Z204" s="19">
        <v>43348.896180555559</v>
      </c>
    </row>
    <row r="205" spans="1:26">
      <c r="A205" t="s">
        <v>177</v>
      </c>
      <c r="B205" t="s">
        <v>178</v>
      </c>
      <c r="C205">
        <v>201910</v>
      </c>
      <c r="D205">
        <v>900</v>
      </c>
      <c r="F205">
        <v>0</v>
      </c>
      <c r="G205" t="s">
        <v>135</v>
      </c>
      <c r="H205" s="19">
        <v>43347</v>
      </c>
      <c r="I205" s="19">
        <v>43347</v>
      </c>
      <c r="O205">
        <v>177</v>
      </c>
      <c r="T205" t="s">
        <v>67</v>
      </c>
      <c r="U205" t="s">
        <v>251</v>
      </c>
      <c r="V205" s="19">
        <v>43369</v>
      </c>
      <c r="W205" t="s">
        <v>137</v>
      </c>
      <c r="X205">
        <v>124</v>
      </c>
      <c r="Y205" s="19">
        <v>43360.999398148146</v>
      </c>
      <c r="Z205" s="19">
        <v>43347.776898148149</v>
      </c>
    </row>
    <row r="206" spans="1:26">
      <c r="A206" t="s">
        <v>177</v>
      </c>
      <c r="B206" t="s">
        <v>178</v>
      </c>
      <c r="C206">
        <v>201910</v>
      </c>
      <c r="D206">
        <v>900</v>
      </c>
      <c r="F206">
        <v>0</v>
      </c>
      <c r="G206" t="s">
        <v>135</v>
      </c>
      <c r="H206" s="19">
        <v>43346</v>
      </c>
      <c r="I206" s="19">
        <v>43346</v>
      </c>
      <c r="M206" t="s">
        <v>142</v>
      </c>
      <c r="O206">
        <v>176</v>
      </c>
      <c r="T206" t="s">
        <v>67</v>
      </c>
      <c r="U206" t="s">
        <v>251</v>
      </c>
      <c r="V206" s="19">
        <v>43369</v>
      </c>
      <c r="W206" t="s">
        <v>137</v>
      </c>
      <c r="X206">
        <v>124</v>
      </c>
      <c r="Y206" s="19">
        <v>43360.999398148146</v>
      </c>
      <c r="Z206" s="19">
        <v>43346.731134259258</v>
      </c>
    </row>
    <row r="207" spans="1:26">
      <c r="A207" t="s">
        <v>177</v>
      </c>
      <c r="B207" t="s">
        <v>178</v>
      </c>
      <c r="C207">
        <v>201910</v>
      </c>
      <c r="D207">
        <v>-900</v>
      </c>
      <c r="F207">
        <v>0</v>
      </c>
      <c r="G207" t="s">
        <v>135</v>
      </c>
      <c r="H207" s="19">
        <v>43346</v>
      </c>
      <c r="I207" s="19">
        <v>43346</v>
      </c>
      <c r="M207" t="s">
        <v>142</v>
      </c>
      <c r="O207">
        <v>175</v>
      </c>
      <c r="T207" t="s">
        <v>67</v>
      </c>
      <c r="U207" t="s">
        <v>251</v>
      </c>
      <c r="V207" s="19">
        <v>43369</v>
      </c>
      <c r="W207" t="s">
        <v>137</v>
      </c>
      <c r="X207">
        <v>124</v>
      </c>
      <c r="Y207" s="19">
        <v>43360.999398148146</v>
      </c>
      <c r="Z207" s="19">
        <v>43346.719305555554</v>
      </c>
    </row>
    <row r="208" spans="1:26">
      <c r="A208" t="s">
        <v>177</v>
      </c>
      <c r="B208" t="s">
        <v>178</v>
      </c>
      <c r="C208">
        <v>201910</v>
      </c>
      <c r="D208">
        <v>-300</v>
      </c>
      <c r="F208">
        <v>0</v>
      </c>
      <c r="G208" t="s">
        <v>135</v>
      </c>
      <c r="H208" s="19">
        <v>43335</v>
      </c>
      <c r="I208" s="19">
        <v>43335</v>
      </c>
      <c r="M208" t="s">
        <v>142</v>
      </c>
      <c r="O208">
        <v>174</v>
      </c>
      <c r="T208" t="s">
        <v>67</v>
      </c>
      <c r="U208" t="s">
        <v>252</v>
      </c>
      <c r="V208" s="19">
        <v>43369</v>
      </c>
      <c r="W208" t="s">
        <v>137</v>
      </c>
      <c r="X208">
        <v>124</v>
      </c>
      <c r="Y208" s="19">
        <v>43360.999398148146</v>
      </c>
      <c r="Z208" s="19">
        <v>43335.838541666664</v>
      </c>
    </row>
    <row r="209" spans="1:26">
      <c r="A209" t="s">
        <v>177</v>
      </c>
      <c r="B209" t="s">
        <v>178</v>
      </c>
      <c r="C209">
        <v>201910</v>
      </c>
      <c r="D209">
        <v>900</v>
      </c>
      <c r="F209">
        <v>0</v>
      </c>
      <c r="G209" t="s">
        <v>135</v>
      </c>
      <c r="H209" s="19">
        <v>43335</v>
      </c>
      <c r="I209" s="19">
        <v>43335</v>
      </c>
      <c r="M209" t="s">
        <v>142</v>
      </c>
      <c r="O209">
        <v>173</v>
      </c>
      <c r="T209" t="s">
        <v>67</v>
      </c>
      <c r="U209" t="s">
        <v>252</v>
      </c>
      <c r="V209" s="19">
        <v>43369</v>
      </c>
      <c r="W209" t="s">
        <v>137</v>
      </c>
      <c r="X209">
        <v>124</v>
      </c>
      <c r="Y209" s="19">
        <v>43360.999398148146</v>
      </c>
      <c r="Z209" s="19">
        <v>43335.83834490741</v>
      </c>
    </row>
    <row r="210" spans="1:26">
      <c r="A210" t="s">
        <v>177</v>
      </c>
      <c r="B210" t="s">
        <v>178</v>
      </c>
      <c r="C210">
        <v>201910</v>
      </c>
      <c r="D210">
        <v>300</v>
      </c>
      <c r="F210">
        <v>0</v>
      </c>
      <c r="G210" t="s">
        <v>135</v>
      </c>
      <c r="H210" s="19">
        <v>43335</v>
      </c>
      <c r="I210" s="19">
        <v>43335</v>
      </c>
      <c r="M210" t="s">
        <v>142</v>
      </c>
      <c r="O210">
        <v>172</v>
      </c>
      <c r="T210" t="s">
        <v>67</v>
      </c>
      <c r="U210" t="s">
        <v>253</v>
      </c>
      <c r="V210" s="19">
        <v>43369</v>
      </c>
      <c r="W210" t="s">
        <v>137</v>
      </c>
      <c r="X210">
        <v>124</v>
      </c>
      <c r="Y210" s="19">
        <v>43360.999398148146</v>
      </c>
      <c r="Z210" s="19">
        <v>43335.499513888892</v>
      </c>
    </row>
    <row r="211" spans="1:26">
      <c r="A211" t="s">
        <v>203</v>
      </c>
      <c r="B211" t="s">
        <v>204</v>
      </c>
      <c r="C211">
        <v>201910</v>
      </c>
      <c r="D211">
        <v>-900</v>
      </c>
      <c r="F211">
        <v>0</v>
      </c>
      <c r="G211" t="s">
        <v>135</v>
      </c>
      <c r="H211" s="19">
        <v>43335</v>
      </c>
      <c r="I211" s="19">
        <v>43335</v>
      </c>
      <c r="M211" t="s">
        <v>142</v>
      </c>
      <c r="O211">
        <v>171</v>
      </c>
      <c r="T211" t="s">
        <v>67</v>
      </c>
      <c r="U211" t="s">
        <v>253</v>
      </c>
      <c r="V211" s="19">
        <v>43369</v>
      </c>
      <c r="W211" t="s">
        <v>137</v>
      </c>
      <c r="X211">
        <v>124</v>
      </c>
      <c r="Y211" s="19">
        <v>43360.999398148146</v>
      </c>
      <c r="Z211" s="19">
        <v>43335.485381944447</v>
      </c>
    </row>
    <row r="212" spans="1:26">
      <c r="A212" t="s">
        <v>203</v>
      </c>
      <c r="B212" t="s">
        <v>204</v>
      </c>
      <c r="C212">
        <v>201910</v>
      </c>
      <c r="D212">
        <v>900</v>
      </c>
      <c r="F212">
        <v>0</v>
      </c>
      <c r="G212" t="s">
        <v>135</v>
      </c>
      <c r="H212" s="19">
        <v>43334</v>
      </c>
      <c r="I212" s="19">
        <v>43334</v>
      </c>
      <c r="M212" t="s">
        <v>142</v>
      </c>
      <c r="O212">
        <v>170</v>
      </c>
      <c r="T212" t="s">
        <v>67</v>
      </c>
      <c r="U212" t="s">
        <v>254</v>
      </c>
      <c r="V212" s="19">
        <v>43369</v>
      </c>
      <c r="W212" t="s">
        <v>137</v>
      </c>
      <c r="X212">
        <v>124</v>
      </c>
      <c r="Y212" s="19">
        <v>43360.999398148146</v>
      </c>
      <c r="Z212" s="19">
        <v>43334.878576388888</v>
      </c>
    </row>
    <row r="213" spans="1:26">
      <c r="A213" t="s">
        <v>203</v>
      </c>
      <c r="B213" t="s">
        <v>204</v>
      </c>
      <c r="C213">
        <v>201910</v>
      </c>
      <c r="D213">
        <v>-900</v>
      </c>
      <c r="F213">
        <v>0</v>
      </c>
      <c r="G213" t="s">
        <v>135</v>
      </c>
      <c r="H213" s="19">
        <v>43334</v>
      </c>
      <c r="I213" s="19">
        <v>43334</v>
      </c>
      <c r="M213" t="s">
        <v>142</v>
      </c>
      <c r="O213">
        <v>169</v>
      </c>
      <c r="T213" t="s">
        <v>67</v>
      </c>
      <c r="U213" t="s">
        <v>255</v>
      </c>
      <c r="V213" s="19">
        <v>43369</v>
      </c>
      <c r="W213" t="s">
        <v>137</v>
      </c>
      <c r="X213">
        <v>124</v>
      </c>
      <c r="Y213" s="19">
        <v>43360.999398148146</v>
      </c>
      <c r="Z213" s="19">
        <v>43334.027129629627</v>
      </c>
    </row>
    <row r="214" spans="1:26">
      <c r="A214" t="s">
        <v>203</v>
      </c>
      <c r="B214" t="s">
        <v>204</v>
      </c>
      <c r="C214">
        <v>201910</v>
      </c>
      <c r="D214">
        <v>900</v>
      </c>
      <c r="F214">
        <v>0</v>
      </c>
      <c r="G214" t="s">
        <v>135</v>
      </c>
      <c r="H214" s="19">
        <v>43334</v>
      </c>
      <c r="I214" s="19">
        <v>43334</v>
      </c>
      <c r="M214" t="s">
        <v>142</v>
      </c>
      <c r="O214">
        <v>168</v>
      </c>
      <c r="T214" t="s">
        <v>67</v>
      </c>
      <c r="U214" t="s">
        <v>256</v>
      </c>
      <c r="V214" s="19">
        <v>43369</v>
      </c>
      <c r="W214" t="s">
        <v>137</v>
      </c>
      <c r="X214">
        <v>124</v>
      </c>
      <c r="Y214" s="19">
        <v>43360.999398148146</v>
      </c>
      <c r="Z214" s="19">
        <v>43334.020520833335</v>
      </c>
    </row>
    <row r="215" spans="1:26">
      <c r="A215" t="s">
        <v>177</v>
      </c>
      <c r="B215" t="s">
        <v>178</v>
      </c>
      <c r="C215">
        <v>201910</v>
      </c>
      <c r="D215">
        <v>900</v>
      </c>
      <c r="F215">
        <v>0</v>
      </c>
      <c r="G215" t="s">
        <v>135</v>
      </c>
      <c r="H215" s="19">
        <v>43334</v>
      </c>
      <c r="I215" s="19">
        <v>43334</v>
      </c>
      <c r="M215" t="s">
        <v>142</v>
      </c>
      <c r="O215">
        <v>167</v>
      </c>
      <c r="T215" t="s">
        <v>67</v>
      </c>
      <c r="U215" t="s">
        <v>255</v>
      </c>
      <c r="V215" s="19">
        <v>43369</v>
      </c>
      <c r="W215" t="s">
        <v>137</v>
      </c>
      <c r="X215">
        <v>124</v>
      </c>
      <c r="Y215" s="19">
        <v>43360.999398148146</v>
      </c>
      <c r="Z215" s="19">
        <v>43334.012523148151</v>
      </c>
    </row>
    <row r="216" spans="1:26">
      <c r="A216" t="s">
        <v>177</v>
      </c>
      <c r="B216" t="s">
        <v>178</v>
      </c>
      <c r="C216">
        <v>201910</v>
      </c>
      <c r="D216">
        <v>900</v>
      </c>
      <c r="F216">
        <v>0</v>
      </c>
      <c r="G216" t="s">
        <v>135</v>
      </c>
      <c r="H216" s="19">
        <v>43334</v>
      </c>
      <c r="I216" s="19">
        <v>43334</v>
      </c>
      <c r="M216" t="s">
        <v>142</v>
      </c>
      <c r="O216">
        <v>166</v>
      </c>
      <c r="T216" t="s">
        <v>67</v>
      </c>
      <c r="U216" t="s">
        <v>255</v>
      </c>
      <c r="V216" s="19">
        <v>43369</v>
      </c>
      <c r="W216" t="s">
        <v>137</v>
      </c>
      <c r="X216">
        <v>124</v>
      </c>
      <c r="Y216" s="19">
        <v>43360.999398148146</v>
      </c>
      <c r="Z216" s="19">
        <v>43334.011736111112</v>
      </c>
    </row>
    <row r="217" spans="1:26">
      <c r="A217" t="s">
        <v>177</v>
      </c>
      <c r="B217" t="s">
        <v>178</v>
      </c>
      <c r="C217">
        <v>201910</v>
      </c>
      <c r="D217">
        <v>900</v>
      </c>
      <c r="F217">
        <v>0</v>
      </c>
      <c r="G217" t="s">
        <v>135</v>
      </c>
      <c r="H217" s="19">
        <v>43334</v>
      </c>
      <c r="I217" s="19">
        <v>43334</v>
      </c>
      <c r="M217" t="s">
        <v>142</v>
      </c>
      <c r="O217">
        <v>165</v>
      </c>
      <c r="T217" t="s">
        <v>67</v>
      </c>
      <c r="U217" t="s">
        <v>255</v>
      </c>
      <c r="V217" s="19">
        <v>43369</v>
      </c>
      <c r="W217" t="s">
        <v>137</v>
      </c>
      <c r="X217">
        <v>124</v>
      </c>
      <c r="Y217" s="19">
        <v>43360.999398148146</v>
      </c>
      <c r="Z217" s="19">
        <v>43334.009293981479</v>
      </c>
    </row>
    <row r="218" spans="1:26">
      <c r="A218" t="s">
        <v>155</v>
      </c>
      <c r="B218" t="s">
        <v>156</v>
      </c>
      <c r="C218">
        <v>201910</v>
      </c>
      <c r="D218">
        <v>80</v>
      </c>
      <c r="F218">
        <v>0</v>
      </c>
      <c r="G218" t="s">
        <v>135</v>
      </c>
      <c r="H218" s="19">
        <v>43334</v>
      </c>
      <c r="I218" s="19">
        <v>43334</v>
      </c>
      <c r="M218" t="s">
        <v>142</v>
      </c>
      <c r="O218">
        <v>164</v>
      </c>
      <c r="T218" t="s">
        <v>67</v>
      </c>
      <c r="U218" t="s">
        <v>255</v>
      </c>
      <c r="V218" s="19">
        <v>43369</v>
      </c>
      <c r="W218" t="s">
        <v>137</v>
      </c>
      <c r="X218">
        <v>124</v>
      </c>
      <c r="Y218" s="19">
        <v>43360.999398148146</v>
      </c>
      <c r="Z218" s="19">
        <v>43334.009293981479</v>
      </c>
    </row>
    <row r="219" spans="1:26">
      <c r="A219" t="s">
        <v>157</v>
      </c>
      <c r="B219" t="s">
        <v>158</v>
      </c>
      <c r="C219">
        <v>201910</v>
      </c>
      <c r="D219">
        <v>100</v>
      </c>
      <c r="F219">
        <v>0</v>
      </c>
      <c r="G219" t="s">
        <v>135</v>
      </c>
      <c r="H219" s="19">
        <v>43334</v>
      </c>
      <c r="I219" s="19">
        <v>43334</v>
      </c>
      <c r="M219" t="s">
        <v>142</v>
      </c>
      <c r="O219">
        <v>163</v>
      </c>
      <c r="T219" t="s">
        <v>67</v>
      </c>
      <c r="U219" t="s">
        <v>255</v>
      </c>
      <c r="V219" s="19">
        <v>43369</v>
      </c>
      <c r="W219" t="s">
        <v>137</v>
      </c>
      <c r="X219">
        <v>124</v>
      </c>
      <c r="Y219" s="19">
        <v>43360.999398148146</v>
      </c>
      <c r="Z219" s="19">
        <v>43334.009293981479</v>
      </c>
    </row>
    <row r="220" spans="1:26">
      <c r="A220" t="s">
        <v>159</v>
      </c>
      <c r="B220" t="s">
        <v>160</v>
      </c>
      <c r="C220">
        <v>201910</v>
      </c>
      <c r="D220">
        <v>100</v>
      </c>
      <c r="F220">
        <v>0</v>
      </c>
      <c r="G220" t="s">
        <v>135</v>
      </c>
      <c r="H220" s="19">
        <v>43334</v>
      </c>
      <c r="I220" s="19">
        <v>43334</v>
      </c>
      <c r="M220" t="s">
        <v>142</v>
      </c>
      <c r="O220">
        <v>162</v>
      </c>
      <c r="T220" t="s">
        <v>67</v>
      </c>
      <c r="U220" t="s">
        <v>255</v>
      </c>
      <c r="V220" s="19">
        <v>43369</v>
      </c>
      <c r="W220" t="s">
        <v>137</v>
      </c>
      <c r="X220">
        <v>124</v>
      </c>
      <c r="Y220" s="19">
        <v>43360.999398148146</v>
      </c>
      <c r="Z220" s="19">
        <v>43334.009293981479</v>
      </c>
    </row>
    <row r="221" spans="1:26">
      <c r="A221" t="s">
        <v>161</v>
      </c>
      <c r="B221" t="s">
        <v>162</v>
      </c>
      <c r="C221">
        <v>201910</v>
      </c>
      <c r="D221">
        <v>100</v>
      </c>
      <c r="F221">
        <v>0</v>
      </c>
      <c r="G221" t="s">
        <v>135</v>
      </c>
      <c r="H221" s="19">
        <v>43334</v>
      </c>
      <c r="I221" s="19">
        <v>43334</v>
      </c>
      <c r="M221" t="s">
        <v>142</v>
      </c>
      <c r="O221">
        <v>161</v>
      </c>
      <c r="T221" t="s">
        <v>67</v>
      </c>
      <c r="U221" t="s">
        <v>255</v>
      </c>
      <c r="V221" s="19">
        <v>43369</v>
      </c>
      <c r="W221" t="s">
        <v>137</v>
      </c>
      <c r="X221">
        <v>124</v>
      </c>
      <c r="Y221" s="19">
        <v>43360.999398148146</v>
      </c>
      <c r="Z221" s="19">
        <v>43334.009293981479</v>
      </c>
    </row>
    <row r="222" spans="1:26">
      <c r="A222" t="s">
        <v>163</v>
      </c>
      <c r="B222" t="s">
        <v>164</v>
      </c>
      <c r="C222">
        <v>201910</v>
      </c>
      <c r="D222">
        <v>30</v>
      </c>
      <c r="F222">
        <v>0</v>
      </c>
      <c r="G222" t="s">
        <v>135</v>
      </c>
      <c r="H222" s="19">
        <v>43334</v>
      </c>
      <c r="I222" s="19">
        <v>43334</v>
      </c>
      <c r="M222" t="s">
        <v>142</v>
      </c>
      <c r="O222">
        <v>160</v>
      </c>
      <c r="T222" t="s">
        <v>67</v>
      </c>
      <c r="U222" t="s">
        <v>255</v>
      </c>
      <c r="V222" s="19">
        <v>43369</v>
      </c>
      <c r="W222" t="s">
        <v>137</v>
      </c>
      <c r="X222">
        <v>124</v>
      </c>
      <c r="Y222" s="19">
        <v>43360.999398148146</v>
      </c>
      <c r="Z222" s="19">
        <v>43334.009293981479</v>
      </c>
    </row>
    <row r="223" spans="1:26">
      <c r="A223" t="s">
        <v>115</v>
      </c>
      <c r="B223" t="s">
        <v>116</v>
      </c>
      <c r="C223">
        <v>201920</v>
      </c>
      <c r="E223">
        <v>2100</v>
      </c>
      <c r="F223">
        <v>0</v>
      </c>
      <c r="G223" t="s">
        <v>29</v>
      </c>
      <c r="H223" s="19">
        <v>44348.795231481483</v>
      </c>
      <c r="I223" s="19">
        <v>44348.795231481483</v>
      </c>
      <c r="O223">
        <v>273</v>
      </c>
      <c r="T223" t="s">
        <v>67</v>
      </c>
      <c r="U223" t="s">
        <v>257</v>
      </c>
      <c r="V223" s="19">
        <v>44349</v>
      </c>
      <c r="W223" t="s">
        <v>118</v>
      </c>
      <c r="X223">
        <v>56</v>
      </c>
      <c r="Y223" s="19">
        <v>44348.837141203701</v>
      </c>
      <c r="Z223" s="19">
        <v>44348.795231481483</v>
      </c>
    </row>
    <row r="224" spans="1:26">
      <c r="A224" t="s">
        <v>185</v>
      </c>
      <c r="B224" t="s">
        <v>186</v>
      </c>
      <c r="C224">
        <v>201920</v>
      </c>
      <c r="D224">
        <v>50</v>
      </c>
      <c r="F224">
        <v>0</v>
      </c>
      <c r="G224" t="s">
        <v>123</v>
      </c>
      <c r="H224" s="19">
        <v>43553.487534722219</v>
      </c>
      <c r="I224" s="19">
        <v>43553.487534722219</v>
      </c>
      <c r="L224">
        <v>455954</v>
      </c>
      <c r="O224">
        <v>221</v>
      </c>
      <c r="T224" t="s">
        <v>67</v>
      </c>
      <c r="U224" t="s">
        <v>258</v>
      </c>
      <c r="V224" s="19">
        <v>43555</v>
      </c>
      <c r="W224" t="s">
        <v>259</v>
      </c>
      <c r="X224">
        <v>102</v>
      </c>
      <c r="Y224" s="19">
        <v>43553.625173611108</v>
      </c>
      <c r="Z224" s="19">
        <v>43553.487592592595</v>
      </c>
    </row>
    <row r="225" spans="1:26">
      <c r="A225" t="s">
        <v>121</v>
      </c>
      <c r="B225" t="s">
        <v>122</v>
      </c>
      <c r="C225">
        <v>201920</v>
      </c>
      <c r="E225">
        <v>330</v>
      </c>
      <c r="F225">
        <v>0</v>
      </c>
      <c r="G225" t="s">
        <v>123</v>
      </c>
      <c r="H225" s="19">
        <v>43553.487476851849</v>
      </c>
      <c r="I225" s="19">
        <v>43553.487476851849</v>
      </c>
      <c r="L225">
        <v>455954</v>
      </c>
      <c r="O225">
        <v>220</v>
      </c>
      <c r="T225" t="s">
        <v>67</v>
      </c>
      <c r="U225" t="s">
        <v>258</v>
      </c>
      <c r="V225" s="19">
        <v>43555</v>
      </c>
      <c r="W225" t="s">
        <v>259</v>
      </c>
      <c r="X225">
        <v>102</v>
      </c>
      <c r="Y225" s="19">
        <v>43553.625173611108</v>
      </c>
      <c r="Z225" s="19">
        <v>43553.487592592595</v>
      </c>
    </row>
    <row r="226" spans="1:26">
      <c r="A226" t="s">
        <v>121</v>
      </c>
      <c r="B226" t="s">
        <v>122</v>
      </c>
      <c r="C226">
        <v>201920</v>
      </c>
      <c r="E226">
        <v>100</v>
      </c>
      <c r="F226">
        <v>0</v>
      </c>
      <c r="G226" t="s">
        <v>123</v>
      </c>
      <c r="H226" s="19">
        <v>43553.470833333333</v>
      </c>
      <c r="I226" s="19">
        <v>43553.470833333333</v>
      </c>
      <c r="L226">
        <v>455948</v>
      </c>
      <c r="O226">
        <v>219</v>
      </c>
      <c r="T226" t="s">
        <v>67</v>
      </c>
      <c r="U226" t="s">
        <v>258</v>
      </c>
      <c r="V226" s="19">
        <v>43555</v>
      </c>
      <c r="W226" t="s">
        <v>125</v>
      </c>
      <c r="X226">
        <v>3583</v>
      </c>
      <c r="Y226" s="19">
        <v>43553.622893518521</v>
      </c>
      <c r="Z226" s="19">
        <v>43553.470868055556</v>
      </c>
    </row>
    <row r="227" spans="1:26">
      <c r="A227" t="s">
        <v>126</v>
      </c>
      <c r="B227" t="s">
        <v>127</v>
      </c>
      <c r="C227">
        <v>201920</v>
      </c>
      <c r="D227">
        <v>100</v>
      </c>
      <c r="F227">
        <v>0</v>
      </c>
      <c r="G227" t="s">
        <v>123</v>
      </c>
      <c r="H227" s="19">
        <v>43553.470810185187</v>
      </c>
      <c r="I227" s="19">
        <v>43553.470810185187</v>
      </c>
      <c r="L227">
        <v>455948</v>
      </c>
      <c r="O227">
        <v>218</v>
      </c>
      <c r="T227" t="s">
        <v>67</v>
      </c>
      <c r="U227" t="s">
        <v>258</v>
      </c>
      <c r="V227" s="19">
        <v>43555</v>
      </c>
      <c r="W227" t="s">
        <v>125</v>
      </c>
      <c r="X227">
        <v>3583</v>
      </c>
      <c r="Y227" s="19">
        <v>43553.622893518521</v>
      </c>
      <c r="Z227" s="19">
        <v>43553.470868055556</v>
      </c>
    </row>
    <row r="228" spans="1:26">
      <c r="A228" t="s">
        <v>260</v>
      </c>
      <c r="B228" t="s">
        <v>261</v>
      </c>
      <c r="C228">
        <v>201920</v>
      </c>
      <c r="D228">
        <v>-900</v>
      </c>
      <c r="F228">
        <v>0</v>
      </c>
      <c r="G228" t="s">
        <v>135</v>
      </c>
      <c r="H228" s="19">
        <v>43493</v>
      </c>
      <c r="I228" s="19">
        <v>43493</v>
      </c>
      <c r="O228">
        <v>205</v>
      </c>
      <c r="T228" t="s">
        <v>67</v>
      </c>
      <c r="U228" t="s">
        <v>262</v>
      </c>
      <c r="V228" s="19">
        <v>43494</v>
      </c>
      <c r="W228" t="s">
        <v>137</v>
      </c>
      <c r="X228">
        <v>138</v>
      </c>
      <c r="Y228" s="19">
        <v>43494.349363425928</v>
      </c>
      <c r="Z228" s="19">
        <v>43493.420891203707</v>
      </c>
    </row>
    <row r="229" spans="1:26">
      <c r="A229" t="s">
        <v>203</v>
      </c>
      <c r="B229" t="s">
        <v>204</v>
      </c>
      <c r="C229">
        <v>201920</v>
      </c>
      <c r="D229">
        <v>-900</v>
      </c>
      <c r="F229">
        <v>0</v>
      </c>
      <c r="G229" t="s">
        <v>135</v>
      </c>
      <c r="H229" s="19">
        <v>43486</v>
      </c>
      <c r="I229" s="19">
        <v>43486</v>
      </c>
      <c r="M229" t="s">
        <v>142</v>
      </c>
      <c r="O229">
        <v>204</v>
      </c>
      <c r="T229" t="s">
        <v>67</v>
      </c>
      <c r="U229" t="s">
        <v>263</v>
      </c>
      <c r="V229" s="19">
        <v>43487</v>
      </c>
      <c r="W229" t="s">
        <v>137</v>
      </c>
      <c r="X229">
        <v>134</v>
      </c>
      <c r="Y229" s="19">
        <v>43487.429108796299</v>
      </c>
      <c r="Z229" s="19">
        <v>43486.581759259258</v>
      </c>
    </row>
    <row r="230" spans="1:26">
      <c r="A230" t="s">
        <v>203</v>
      </c>
      <c r="B230" t="s">
        <v>204</v>
      </c>
      <c r="C230">
        <v>201920</v>
      </c>
      <c r="D230">
        <v>900</v>
      </c>
      <c r="F230">
        <v>0</v>
      </c>
      <c r="G230" t="s">
        <v>135</v>
      </c>
      <c r="H230" s="19">
        <v>43486</v>
      </c>
      <c r="I230" s="19">
        <v>43486</v>
      </c>
      <c r="M230" t="s">
        <v>142</v>
      </c>
      <c r="O230">
        <v>203</v>
      </c>
      <c r="T230" t="s">
        <v>67</v>
      </c>
      <c r="U230" t="s">
        <v>263</v>
      </c>
      <c r="V230" s="19">
        <v>43487</v>
      </c>
      <c r="W230" t="s">
        <v>137</v>
      </c>
      <c r="X230">
        <v>134</v>
      </c>
      <c r="Y230" s="19">
        <v>43487.429108796299</v>
      </c>
      <c r="Z230" s="19">
        <v>43486.461342592593</v>
      </c>
    </row>
    <row r="231" spans="1:26">
      <c r="A231" t="s">
        <v>177</v>
      </c>
      <c r="B231" t="s">
        <v>178</v>
      </c>
      <c r="C231">
        <v>201920</v>
      </c>
      <c r="D231">
        <v>900</v>
      </c>
      <c r="F231">
        <v>0</v>
      </c>
      <c r="G231" t="s">
        <v>135</v>
      </c>
      <c r="H231" s="19">
        <v>43474</v>
      </c>
      <c r="I231" s="19">
        <v>43474</v>
      </c>
      <c r="M231" t="s">
        <v>142</v>
      </c>
      <c r="O231">
        <v>202</v>
      </c>
      <c r="T231" t="s">
        <v>67</v>
      </c>
      <c r="U231" t="s">
        <v>264</v>
      </c>
      <c r="V231" s="19">
        <v>43475</v>
      </c>
      <c r="W231" t="s">
        <v>137</v>
      </c>
      <c r="X231">
        <v>127</v>
      </c>
      <c r="Y231" s="19">
        <v>43475.345752314817</v>
      </c>
      <c r="Z231" s="19">
        <v>43474.418622685182</v>
      </c>
    </row>
    <row r="232" spans="1:26">
      <c r="A232" t="s">
        <v>177</v>
      </c>
      <c r="B232" t="s">
        <v>178</v>
      </c>
      <c r="C232">
        <v>201920</v>
      </c>
      <c r="D232">
        <v>900</v>
      </c>
      <c r="F232">
        <v>0</v>
      </c>
      <c r="G232" t="s">
        <v>135</v>
      </c>
      <c r="H232" s="19">
        <v>43474</v>
      </c>
      <c r="I232" s="19">
        <v>43474</v>
      </c>
      <c r="M232" t="s">
        <v>142</v>
      </c>
      <c r="O232">
        <v>201</v>
      </c>
      <c r="T232" t="s">
        <v>67</v>
      </c>
      <c r="U232" t="s">
        <v>264</v>
      </c>
      <c r="V232" s="19">
        <v>43475</v>
      </c>
      <c r="W232" t="s">
        <v>137</v>
      </c>
      <c r="X232">
        <v>127</v>
      </c>
      <c r="Y232" s="19">
        <v>43475.345752314817</v>
      </c>
      <c r="Z232" s="19">
        <v>43474.418425925927</v>
      </c>
    </row>
    <row r="233" spans="1:26">
      <c r="A233" t="s">
        <v>177</v>
      </c>
      <c r="B233" t="s">
        <v>178</v>
      </c>
      <c r="C233">
        <v>201920</v>
      </c>
      <c r="D233">
        <v>300</v>
      </c>
      <c r="F233">
        <v>0</v>
      </c>
      <c r="G233" t="s">
        <v>135</v>
      </c>
      <c r="H233" s="19">
        <v>43474</v>
      </c>
      <c r="I233" s="19">
        <v>43474</v>
      </c>
      <c r="M233" t="s">
        <v>142</v>
      </c>
      <c r="O233">
        <v>200</v>
      </c>
      <c r="T233" t="s">
        <v>67</v>
      </c>
      <c r="U233" t="s">
        <v>265</v>
      </c>
      <c r="V233" s="19">
        <v>43475</v>
      </c>
      <c r="W233" t="s">
        <v>137</v>
      </c>
      <c r="X233">
        <v>127</v>
      </c>
      <c r="Y233" s="19">
        <v>43475.345752314817</v>
      </c>
      <c r="Z233" s="19">
        <v>43474.417916666665</v>
      </c>
    </row>
    <row r="234" spans="1:26">
      <c r="A234" t="s">
        <v>260</v>
      </c>
      <c r="B234" t="s">
        <v>261</v>
      </c>
      <c r="C234">
        <v>201920</v>
      </c>
      <c r="D234">
        <v>900</v>
      </c>
      <c r="F234">
        <v>0</v>
      </c>
      <c r="G234" t="s">
        <v>135</v>
      </c>
      <c r="H234" s="19">
        <v>43474</v>
      </c>
      <c r="I234" s="19">
        <v>43474</v>
      </c>
      <c r="M234" t="s">
        <v>142</v>
      </c>
      <c r="O234">
        <v>199</v>
      </c>
      <c r="T234" t="s">
        <v>67</v>
      </c>
      <c r="U234" t="s">
        <v>264</v>
      </c>
      <c r="V234" s="19">
        <v>43475</v>
      </c>
      <c r="W234" t="s">
        <v>137</v>
      </c>
      <c r="X234">
        <v>127</v>
      </c>
      <c r="Y234" s="19">
        <v>43475.345752314817</v>
      </c>
      <c r="Z234" s="19">
        <v>43474.417650462965</v>
      </c>
    </row>
    <row r="235" spans="1:26">
      <c r="A235" t="s">
        <v>155</v>
      </c>
      <c r="B235" t="s">
        <v>156</v>
      </c>
      <c r="C235">
        <v>201920</v>
      </c>
      <c r="D235">
        <v>80</v>
      </c>
      <c r="F235">
        <v>0</v>
      </c>
      <c r="G235" t="s">
        <v>135</v>
      </c>
      <c r="H235" s="19">
        <v>43474</v>
      </c>
      <c r="I235" s="19">
        <v>43474</v>
      </c>
      <c r="M235" t="s">
        <v>142</v>
      </c>
      <c r="O235">
        <v>198</v>
      </c>
      <c r="T235" t="s">
        <v>67</v>
      </c>
      <c r="U235" t="s">
        <v>264</v>
      </c>
      <c r="V235" s="19">
        <v>43475</v>
      </c>
      <c r="W235" t="s">
        <v>137</v>
      </c>
      <c r="X235">
        <v>127</v>
      </c>
      <c r="Y235" s="19">
        <v>43475.345752314817</v>
      </c>
      <c r="Z235" s="19">
        <v>43474.417650462965</v>
      </c>
    </row>
    <row r="236" spans="1:26">
      <c r="A236" t="s">
        <v>157</v>
      </c>
      <c r="B236" t="s">
        <v>158</v>
      </c>
      <c r="C236">
        <v>201920</v>
      </c>
      <c r="D236">
        <v>100</v>
      </c>
      <c r="F236">
        <v>0</v>
      </c>
      <c r="G236" t="s">
        <v>135</v>
      </c>
      <c r="H236" s="19">
        <v>43474</v>
      </c>
      <c r="I236" s="19">
        <v>43474</v>
      </c>
      <c r="M236" t="s">
        <v>142</v>
      </c>
      <c r="O236">
        <v>197</v>
      </c>
      <c r="T236" t="s">
        <v>67</v>
      </c>
      <c r="U236" t="s">
        <v>264</v>
      </c>
      <c r="V236" s="19">
        <v>43475</v>
      </c>
      <c r="W236" t="s">
        <v>137</v>
      </c>
      <c r="X236">
        <v>127</v>
      </c>
      <c r="Y236" s="19">
        <v>43475.345752314817</v>
      </c>
      <c r="Z236" s="19">
        <v>43474.417650462965</v>
      </c>
    </row>
    <row r="237" spans="1:26">
      <c r="A237" t="s">
        <v>161</v>
      </c>
      <c r="B237" t="s">
        <v>162</v>
      </c>
      <c r="C237">
        <v>201920</v>
      </c>
      <c r="D237">
        <v>100</v>
      </c>
      <c r="F237">
        <v>0</v>
      </c>
      <c r="G237" t="s">
        <v>135</v>
      </c>
      <c r="H237" s="19">
        <v>43474</v>
      </c>
      <c r="I237" s="19">
        <v>43474</v>
      </c>
      <c r="M237" t="s">
        <v>142</v>
      </c>
      <c r="O237">
        <v>196</v>
      </c>
      <c r="T237" t="s">
        <v>67</v>
      </c>
      <c r="U237" t="s">
        <v>264</v>
      </c>
      <c r="V237" s="19">
        <v>43475</v>
      </c>
      <c r="W237" t="s">
        <v>137</v>
      </c>
      <c r="X237">
        <v>127</v>
      </c>
      <c r="Y237" s="19">
        <v>43475.345752314817</v>
      </c>
      <c r="Z237" s="19">
        <v>43474.417650462965</v>
      </c>
    </row>
    <row r="238" spans="1:26">
      <c r="A238" t="s">
        <v>126</v>
      </c>
      <c r="B238" t="s">
        <v>127</v>
      </c>
      <c r="C238">
        <v>201930</v>
      </c>
      <c r="D238">
        <v>60</v>
      </c>
      <c r="F238">
        <v>0</v>
      </c>
      <c r="G238" t="s">
        <v>123</v>
      </c>
      <c r="H238" s="19">
        <v>43679.477696759262</v>
      </c>
      <c r="I238" s="19">
        <v>43679.477696759262</v>
      </c>
      <c r="L238">
        <v>464592</v>
      </c>
      <c r="O238">
        <v>229</v>
      </c>
      <c r="T238" t="s">
        <v>67</v>
      </c>
      <c r="U238" t="s">
        <v>266</v>
      </c>
      <c r="V238" s="19">
        <v>43682</v>
      </c>
      <c r="W238" t="s">
        <v>259</v>
      </c>
      <c r="X238">
        <v>255</v>
      </c>
      <c r="Y238" s="19">
        <v>43679.597986111112</v>
      </c>
      <c r="Z238" s="19">
        <v>43679.477743055555</v>
      </c>
    </row>
    <row r="239" spans="1:26">
      <c r="A239" t="s">
        <v>121</v>
      </c>
      <c r="B239" t="s">
        <v>122</v>
      </c>
      <c r="C239">
        <v>201930</v>
      </c>
      <c r="E239">
        <v>60</v>
      </c>
      <c r="F239">
        <v>0</v>
      </c>
      <c r="G239" t="s">
        <v>123</v>
      </c>
      <c r="H239" s="19">
        <v>43679.47761574074</v>
      </c>
      <c r="I239" s="19">
        <v>43679.47761574074</v>
      </c>
      <c r="L239">
        <v>464592</v>
      </c>
      <c r="O239">
        <v>228</v>
      </c>
      <c r="T239" t="s">
        <v>67</v>
      </c>
      <c r="U239" t="s">
        <v>266</v>
      </c>
      <c r="V239" s="19">
        <v>43682</v>
      </c>
      <c r="W239" t="s">
        <v>259</v>
      </c>
      <c r="X239">
        <v>255</v>
      </c>
      <c r="Y239" s="19">
        <v>43679.597986111112</v>
      </c>
      <c r="Z239" s="19">
        <v>43679.477743055555</v>
      </c>
    </row>
    <row r="240" spans="1:26">
      <c r="A240" t="s">
        <v>185</v>
      </c>
      <c r="B240" t="s">
        <v>186</v>
      </c>
      <c r="C240">
        <v>201930</v>
      </c>
      <c r="D240">
        <v>50</v>
      </c>
      <c r="F240">
        <v>0</v>
      </c>
      <c r="G240" t="s">
        <v>123</v>
      </c>
      <c r="H240" s="19">
        <v>43679.473229166666</v>
      </c>
      <c r="I240" s="19">
        <v>43679.473229166666</v>
      </c>
      <c r="L240">
        <v>464591</v>
      </c>
      <c r="O240">
        <v>227</v>
      </c>
      <c r="T240" t="s">
        <v>67</v>
      </c>
      <c r="U240" t="s">
        <v>266</v>
      </c>
      <c r="V240" s="19">
        <v>43682</v>
      </c>
      <c r="W240" t="s">
        <v>259</v>
      </c>
      <c r="X240">
        <v>255</v>
      </c>
      <c r="Y240" s="19">
        <v>43679.597986111112</v>
      </c>
      <c r="Z240" s="19">
        <v>43679.473252314812</v>
      </c>
    </row>
    <row r="241" spans="1:26">
      <c r="A241" t="s">
        <v>121</v>
      </c>
      <c r="B241" t="s">
        <v>122</v>
      </c>
      <c r="C241">
        <v>201930</v>
      </c>
      <c r="E241">
        <v>1230</v>
      </c>
      <c r="F241">
        <v>0</v>
      </c>
      <c r="G241" t="s">
        <v>123</v>
      </c>
      <c r="H241" s="19">
        <v>43679.473194444443</v>
      </c>
      <c r="I241" s="19">
        <v>43679.473194444443</v>
      </c>
      <c r="L241">
        <v>464591</v>
      </c>
      <c r="O241">
        <v>226</v>
      </c>
      <c r="T241" t="s">
        <v>67</v>
      </c>
      <c r="U241" t="s">
        <v>266</v>
      </c>
      <c r="V241" s="19">
        <v>43682</v>
      </c>
      <c r="W241" t="s">
        <v>259</v>
      </c>
      <c r="X241">
        <v>255</v>
      </c>
      <c r="Y241" s="19">
        <v>43679.597986111112</v>
      </c>
      <c r="Z241" s="19">
        <v>43679.473252314812</v>
      </c>
    </row>
    <row r="242" spans="1:26">
      <c r="A242" t="s">
        <v>177</v>
      </c>
      <c r="B242" t="s">
        <v>178</v>
      </c>
      <c r="C242">
        <v>201930</v>
      </c>
      <c r="D242">
        <v>900</v>
      </c>
      <c r="F242">
        <v>0</v>
      </c>
      <c r="G242" t="s">
        <v>135</v>
      </c>
      <c r="H242" s="19">
        <v>43619</v>
      </c>
      <c r="I242" s="19">
        <v>43619</v>
      </c>
      <c r="M242" t="s">
        <v>142</v>
      </c>
      <c r="O242">
        <v>225</v>
      </c>
      <c r="T242" t="s">
        <v>67</v>
      </c>
      <c r="U242" t="s">
        <v>267</v>
      </c>
      <c r="V242" s="19">
        <v>43620</v>
      </c>
      <c r="W242" t="s">
        <v>137</v>
      </c>
      <c r="X242">
        <v>143</v>
      </c>
      <c r="Y242" s="19">
        <v>43620.356493055559</v>
      </c>
      <c r="Z242" s="19">
        <v>43619.520995370367</v>
      </c>
    </row>
    <row r="243" spans="1:26">
      <c r="A243" t="s">
        <v>155</v>
      </c>
      <c r="B243" t="s">
        <v>156</v>
      </c>
      <c r="C243">
        <v>201930</v>
      </c>
      <c r="D243">
        <v>80</v>
      </c>
      <c r="F243">
        <v>0</v>
      </c>
      <c r="G243" t="s">
        <v>135</v>
      </c>
      <c r="H243" s="19">
        <v>43619</v>
      </c>
      <c r="I243" s="19">
        <v>43619</v>
      </c>
      <c r="M243" t="s">
        <v>142</v>
      </c>
      <c r="O243">
        <v>224</v>
      </c>
      <c r="T243" t="s">
        <v>67</v>
      </c>
      <c r="U243" t="s">
        <v>267</v>
      </c>
      <c r="V243" s="19">
        <v>43620</v>
      </c>
      <c r="W243" t="s">
        <v>137</v>
      </c>
      <c r="X243">
        <v>143</v>
      </c>
      <c r="Y243" s="19">
        <v>43620.356493055559</v>
      </c>
      <c r="Z243" s="19">
        <v>43619.520995370367</v>
      </c>
    </row>
    <row r="244" spans="1:26">
      <c r="A244" t="s">
        <v>157</v>
      </c>
      <c r="B244" t="s">
        <v>158</v>
      </c>
      <c r="C244">
        <v>201930</v>
      </c>
      <c r="D244">
        <v>100</v>
      </c>
      <c r="F244">
        <v>0</v>
      </c>
      <c r="G244" t="s">
        <v>135</v>
      </c>
      <c r="H244" s="19">
        <v>43619</v>
      </c>
      <c r="I244" s="19">
        <v>43619</v>
      </c>
      <c r="M244" t="s">
        <v>142</v>
      </c>
      <c r="O244">
        <v>223</v>
      </c>
      <c r="T244" t="s">
        <v>67</v>
      </c>
      <c r="U244" t="s">
        <v>267</v>
      </c>
      <c r="V244" s="19">
        <v>43620</v>
      </c>
      <c r="W244" t="s">
        <v>137</v>
      </c>
      <c r="X244">
        <v>143</v>
      </c>
      <c r="Y244" s="19">
        <v>43620.356493055559</v>
      </c>
      <c r="Z244" s="19">
        <v>43619.520995370367</v>
      </c>
    </row>
    <row r="245" spans="1:26">
      <c r="A245" t="s">
        <v>161</v>
      </c>
      <c r="B245" t="s">
        <v>162</v>
      </c>
      <c r="C245">
        <v>201930</v>
      </c>
      <c r="D245">
        <v>100</v>
      </c>
      <c r="F245">
        <v>0</v>
      </c>
      <c r="G245" t="s">
        <v>135</v>
      </c>
      <c r="H245" s="19">
        <v>43619</v>
      </c>
      <c r="I245" s="19">
        <v>43619</v>
      </c>
      <c r="M245" t="s">
        <v>142</v>
      </c>
      <c r="O245">
        <v>222</v>
      </c>
      <c r="T245" t="s">
        <v>67</v>
      </c>
      <c r="U245" t="s">
        <v>267</v>
      </c>
      <c r="V245" s="19">
        <v>43620</v>
      </c>
      <c r="W245" t="s">
        <v>137</v>
      </c>
      <c r="X245">
        <v>143</v>
      </c>
      <c r="Y245" s="19">
        <v>43620.356493055559</v>
      </c>
      <c r="Z245" s="19">
        <v>43619.520995370367</v>
      </c>
    </row>
    <row r="246" spans="1:26">
      <c r="A246" t="s">
        <v>115</v>
      </c>
      <c r="B246" t="s">
        <v>116</v>
      </c>
      <c r="C246">
        <v>202010</v>
      </c>
      <c r="E246">
        <v>1800</v>
      </c>
      <c r="F246">
        <v>0</v>
      </c>
      <c r="G246" t="s">
        <v>29</v>
      </c>
      <c r="H246" s="19">
        <v>44387.515127314815</v>
      </c>
      <c r="I246" s="19">
        <v>44387.515127314815</v>
      </c>
      <c r="O246">
        <v>274</v>
      </c>
      <c r="T246" t="s">
        <v>67</v>
      </c>
      <c r="U246" t="s">
        <v>268</v>
      </c>
      <c r="V246" s="19">
        <v>44390</v>
      </c>
      <c r="W246" t="s">
        <v>118</v>
      </c>
      <c r="X246">
        <v>57</v>
      </c>
      <c r="Y246" s="19">
        <v>44387.787418981483</v>
      </c>
      <c r="Z246" s="19">
        <v>44387.515127314815</v>
      </c>
    </row>
    <row r="247" spans="1:26">
      <c r="A247" t="s">
        <v>139</v>
      </c>
      <c r="B247" t="s">
        <v>140</v>
      </c>
      <c r="C247">
        <v>202010</v>
      </c>
      <c r="E247">
        <v>40</v>
      </c>
      <c r="F247">
        <v>0</v>
      </c>
      <c r="G247" t="s">
        <v>123</v>
      </c>
      <c r="H247" s="19">
        <v>43815.646805555552</v>
      </c>
      <c r="I247" s="19">
        <v>43815.646805555552</v>
      </c>
      <c r="L247">
        <v>478285</v>
      </c>
      <c r="O247">
        <v>240</v>
      </c>
      <c r="T247" t="s">
        <v>67</v>
      </c>
      <c r="U247" t="s">
        <v>269</v>
      </c>
      <c r="V247" s="19">
        <v>43821</v>
      </c>
      <c r="W247" t="s">
        <v>125</v>
      </c>
      <c r="X247">
        <v>3846</v>
      </c>
      <c r="Y247" s="19">
        <v>43816.323217592595</v>
      </c>
      <c r="Z247" s="19">
        <v>43815.647650462961</v>
      </c>
    </row>
    <row r="248" spans="1:26">
      <c r="A248" t="s">
        <v>126</v>
      </c>
      <c r="B248" t="s">
        <v>127</v>
      </c>
      <c r="C248">
        <v>202010</v>
      </c>
      <c r="D248">
        <v>40</v>
      </c>
      <c r="F248">
        <v>0</v>
      </c>
      <c r="G248" t="s">
        <v>123</v>
      </c>
      <c r="H248" s="19">
        <v>43815.646770833337</v>
      </c>
      <c r="I248" s="19">
        <v>43815.646770833337</v>
      </c>
      <c r="L248">
        <v>478285</v>
      </c>
      <c r="O248">
        <v>239</v>
      </c>
      <c r="T248" t="s">
        <v>67</v>
      </c>
      <c r="U248" t="s">
        <v>269</v>
      </c>
      <c r="V248" s="19">
        <v>43821</v>
      </c>
      <c r="W248" t="s">
        <v>125</v>
      </c>
      <c r="X248">
        <v>3846</v>
      </c>
      <c r="Y248" s="19">
        <v>43816.323217592595</v>
      </c>
      <c r="Z248" s="19">
        <v>43815.647650462961</v>
      </c>
    </row>
    <row r="249" spans="1:26">
      <c r="A249" t="s">
        <v>185</v>
      </c>
      <c r="B249" t="s">
        <v>186</v>
      </c>
      <c r="C249">
        <v>202010</v>
      </c>
      <c r="D249">
        <v>50</v>
      </c>
      <c r="F249">
        <v>0</v>
      </c>
      <c r="G249" t="s">
        <v>123</v>
      </c>
      <c r="H249" s="19">
        <v>43815.646678240744</v>
      </c>
      <c r="I249" s="19">
        <v>43815.646678240744</v>
      </c>
      <c r="L249">
        <v>478284</v>
      </c>
      <c r="O249">
        <v>238</v>
      </c>
      <c r="T249" t="s">
        <v>67</v>
      </c>
      <c r="U249" t="s">
        <v>269</v>
      </c>
      <c r="V249" s="19">
        <v>43821</v>
      </c>
      <c r="W249" t="s">
        <v>125</v>
      </c>
      <c r="X249">
        <v>3846</v>
      </c>
      <c r="Y249" s="19">
        <v>43816.323217592595</v>
      </c>
      <c r="Z249" s="19">
        <v>43815.646689814814</v>
      </c>
    </row>
    <row r="250" spans="1:26">
      <c r="A250" t="s">
        <v>139</v>
      </c>
      <c r="B250" t="s">
        <v>140</v>
      </c>
      <c r="C250">
        <v>202010</v>
      </c>
      <c r="E250">
        <v>460</v>
      </c>
      <c r="F250">
        <v>0</v>
      </c>
      <c r="G250" t="s">
        <v>123</v>
      </c>
      <c r="H250" s="19">
        <v>43815.646643518521</v>
      </c>
      <c r="I250" s="19">
        <v>43815.646643518521</v>
      </c>
      <c r="L250">
        <v>478284</v>
      </c>
      <c r="O250">
        <v>237</v>
      </c>
      <c r="T250" t="s">
        <v>67</v>
      </c>
      <c r="U250" t="s">
        <v>269</v>
      </c>
      <c r="V250" s="19">
        <v>43821</v>
      </c>
      <c r="W250" t="s">
        <v>125</v>
      </c>
      <c r="X250">
        <v>3846</v>
      </c>
      <c r="Y250" s="19">
        <v>43816.323217592595</v>
      </c>
      <c r="Z250" s="19">
        <v>43815.646689814814</v>
      </c>
    </row>
    <row r="251" spans="1:26">
      <c r="A251" t="s">
        <v>177</v>
      </c>
      <c r="B251" t="s">
        <v>178</v>
      </c>
      <c r="C251">
        <v>202010</v>
      </c>
      <c r="D251">
        <v>900</v>
      </c>
      <c r="F251">
        <v>0</v>
      </c>
      <c r="G251" t="s">
        <v>135</v>
      </c>
      <c r="H251" s="19">
        <v>43703</v>
      </c>
      <c r="I251" s="19">
        <v>43703</v>
      </c>
      <c r="M251" t="s">
        <v>142</v>
      </c>
      <c r="O251">
        <v>236</v>
      </c>
      <c r="T251" t="s">
        <v>67</v>
      </c>
      <c r="U251" t="s">
        <v>270</v>
      </c>
      <c r="V251" s="19">
        <v>43704</v>
      </c>
      <c r="W251" t="s">
        <v>137</v>
      </c>
      <c r="X251">
        <v>156</v>
      </c>
      <c r="Y251" s="19">
        <v>43704.33861111111</v>
      </c>
      <c r="Z251" s="19">
        <v>43703.546111111114</v>
      </c>
    </row>
    <row r="252" spans="1:26">
      <c r="A252" t="s">
        <v>177</v>
      </c>
      <c r="B252" t="s">
        <v>178</v>
      </c>
      <c r="C252">
        <v>202010</v>
      </c>
      <c r="D252">
        <v>900</v>
      </c>
      <c r="F252">
        <v>0</v>
      </c>
      <c r="G252" t="s">
        <v>135</v>
      </c>
      <c r="H252" s="19">
        <v>43698</v>
      </c>
      <c r="I252" s="19">
        <v>43698</v>
      </c>
      <c r="M252" t="s">
        <v>142</v>
      </c>
      <c r="O252">
        <v>235</v>
      </c>
      <c r="T252" t="s">
        <v>67</v>
      </c>
      <c r="U252" t="s">
        <v>271</v>
      </c>
      <c r="V252" s="19">
        <v>43698</v>
      </c>
      <c r="W252" t="s">
        <v>137</v>
      </c>
      <c r="X252">
        <v>153</v>
      </c>
      <c r="Y252" s="19">
        <v>43698.348715277774</v>
      </c>
      <c r="Z252" s="19">
        <v>43698.299456018518</v>
      </c>
    </row>
    <row r="253" spans="1:26">
      <c r="A253" t="s">
        <v>155</v>
      </c>
      <c r="B253" t="s">
        <v>156</v>
      </c>
      <c r="C253">
        <v>202010</v>
      </c>
      <c r="D253">
        <v>80</v>
      </c>
      <c r="F253">
        <v>0</v>
      </c>
      <c r="G253" t="s">
        <v>135</v>
      </c>
      <c r="H253" s="19">
        <v>43698</v>
      </c>
      <c r="I253" s="19">
        <v>43698</v>
      </c>
      <c r="M253" t="s">
        <v>142</v>
      </c>
      <c r="O253">
        <v>234</v>
      </c>
      <c r="T253" t="s">
        <v>67</v>
      </c>
      <c r="U253" t="s">
        <v>271</v>
      </c>
      <c r="V253" s="19">
        <v>43698</v>
      </c>
      <c r="W253" t="s">
        <v>137</v>
      </c>
      <c r="X253">
        <v>153</v>
      </c>
      <c r="Y253" s="19">
        <v>43698.348715277774</v>
      </c>
      <c r="Z253" s="19">
        <v>43698.299456018518</v>
      </c>
    </row>
    <row r="254" spans="1:26">
      <c r="A254" t="s">
        <v>157</v>
      </c>
      <c r="B254" t="s">
        <v>158</v>
      </c>
      <c r="C254">
        <v>202010</v>
      </c>
      <c r="D254">
        <v>100</v>
      </c>
      <c r="F254">
        <v>0</v>
      </c>
      <c r="G254" t="s">
        <v>135</v>
      </c>
      <c r="H254" s="19">
        <v>43698</v>
      </c>
      <c r="I254" s="19">
        <v>43698</v>
      </c>
      <c r="M254" t="s">
        <v>142</v>
      </c>
      <c r="O254">
        <v>233</v>
      </c>
      <c r="T254" t="s">
        <v>67</v>
      </c>
      <c r="U254" t="s">
        <v>271</v>
      </c>
      <c r="V254" s="19">
        <v>43698</v>
      </c>
      <c r="W254" t="s">
        <v>137</v>
      </c>
      <c r="X254">
        <v>153</v>
      </c>
      <c r="Y254" s="19">
        <v>43698.348715277774</v>
      </c>
      <c r="Z254" s="19">
        <v>43698.299456018518</v>
      </c>
    </row>
    <row r="255" spans="1:26">
      <c r="A255" t="s">
        <v>159</v>
      </c>
      <c r="B255" t="s">
        <v>160</v>
      </c>
      <c r="C255">
        <v>202010</v>
      </c>
      <c r="D255">
        <v>100</v>
      </c>
      <c r="F255">
        <v>0</v>
      </c>
      <c r="G255" t="s">
        <v>135</v>
      </c>
      <c r="H255" s="19">
        <v>43698</v>
      </c>
      <c r="I255" s="19">
        <v>43698</v>
      </c>
      <c r="M255" t="s">
        <v>142</v>
      </c>
      <c r="O255">
        <v>232</v>
      </c>
      <c r="T255" t="s">
        <v>67</v>
      </c>
      <c r="U255" t="s">
        <v>271</v>
      </c>
      <c r="V255" s="19">
        <v>43698</v>
      </c>
      <c r="W255" t="s">
        <v>137</v>
      </c>
      <c r="X255">
        <v>153</v>
      </c>
      <c r="Y255" s="19">
        <v>43698.348715277774</v>
      </c>
      <c r="Z255" s="19">
        <v>43698.299456018518</v>
      </c>
    </row>
    <row r="256" spans="1:26">
      <c r="A256" t="s">
        <v>161</v>
      </c>
      <c r="B256" t="s">
        <v>162</v>
      </c>
      <c r="C256">
        <v>202010</v>
      </c>
      <c r="D256">
        <v>100</v>
      </c>
      <c r="F256">
        <v>0</v>
      </c>
      <c r="G256" t="s">
        <v>135</v>
      </c>
      <c r="H256" s="19">
        <v>43698</v>
      </c>
      <c r="I256" s="19">
        <v>43698</v>
      </c>
      <c r="M256" t="s">
        <v>142</v>
      </c>
      <c r="O256">
        <v>231</v>
      </c>
      <c r="T256" t="s">
        <v>67</v>
      </c>
      <c r="U256" t="s">
        <v>271</v>
      </c>
      <c r="V256" s="19">
        <v>43698</v>
      </c>
      <c r="W256" t="s">
        <v>137</v>
      </c>
      <c r="X256">
        <v>153</v>
      </c>
      <c r="Y256" s="19">
        <v>43698.348715277774</v>
      </c>
      <c r="Z256" s="19">
        <v>43698.299456018518</v>
      </c>
    </row>
    <row r="257" spans="1:26">
      <c r="A257" t="s">
        <v>163</v>
      </c>
      <c r="B257" t="s">
        <v>164</v>
      </c>
      <c r="C257">
        <v>202010</v>
      </c>
      <c r="D257">
        <v>30</v>
      </c>
      <c r="F257">
        <v>0</v>
      </c>
      <c r="G257" t="s">
        <v>135</v>
      </c>
      <c r="H257" s="19">
        <v>43698</v>
      </c>
      <c r="I257" s="19">
        <v>43698</v>
      </c>
      <c r="M257" t="s">
        <v>142</v>
      </c>
      <c r="O257">
        <v>230</v>
      </c>
      <c r="T257" t="s">
        <v>67</v>
      </c>
      <c r="U257" t="s">
        <v>271</v>
      </c>
      <c r="V257" s="19">
        <v>43698</v>
      </c>
      <c r="W257" t="s">
        <v>137</v>
      </c>
      <c r="X257">
        <v>153</v>
      </c>
      <c r="Y257" s="19">
        <v>43698.348715277774</v>
      </c>
      <c r="Z257" s="19">
        <v>43698.299456018518</v>
      </c>
    </row>
    <row r="258" spans="1:26">
      <c r="A258" t="s">
        <v>115</v>
      </c>
      <c r="B258" t="s">
        <v>116</v>
      </c>
      <c r="C258">
        <v>202020</v>
      </c>
      <c r="E258">
        <v>1800</v>
      </c>
      <c r="F258">
        <v>0</v>
      </c>
      <c r="G258" t="s">
        <v>29</v>
      </c>
      <c r="H258" s="19">
        <v>44782.615960648145</v>
      </c>
      <c r="I258" s="19">
        <v>44782.615960648145</v>
      </c>
      <c r="O258">
        <v>278</v>
      </c>
      <c r="T258" t="s">
        <v>67</v>
      </c>
      <c r="U258" t="s">
        <v>272</v>
      </c>
      <c r="V258" s="19">
        <v>44782</v>
      </c>
      <c r="W258" t="s">
        <v>118</v>
      </c>
      <c r="X258">
        <v>104</v>
      </c>
      <c r="Y258" s="19">
        <v>44782.625243055554</v>
      </c>
      <c r="Z258" s="19">
        <v>44782.615960648145</v>
      </c>
    </row>
    <row r="259" spans="1:26">
      <c r="A259" t="s">
        <v>273</v>
      </c>
      <c r="B259" t="s">
        <v>274</v>
      </c>
      <c r="C259">
        <v>202020</v>
      </c>
      <c r="E259">
        <v>330</v>
      </c>
      <c r="F259">
        <v>0</v>
      </c>
      <c r="G259" t="s">
        <v>53</v>
      </c>
      <c r="H259" s="19">
        <v>43954.543310185189</v>
      </c>
      <c r="I259" s="19">
        <v>43954.543310185189</v>
      </c>
      <c r="L259">
        <v>486027</v>
      </c>
      <c r="O259">
        <v>247</v>
      </c>
      <c r="T259" t="s">
        <v>67</v>
      </c>
      <c r="U259" t="s">
        <v>275</v>
      </c>
      <c r="V259" s="19">
        <v>43956</v>
      </c>
      <c r="W259" t="s">
        <v>276</v>
      </c>
      <c r="X259">
        <v>278</v>
      </c>
      <c r="Y259" s="19">
        <v>43955.601631944446</v>
      </c>
      <c r="Z259" s="19">
        <v>43954.543310185189</v>
      </c>
    </row>
    <row r="260" spans="1:26">
      <c r="A260" t="s">
        <v>185</v>
      </c>
      <c r="B260" t="s">
        <v>186</v>
      </c>
      <c r="C260">
        <v>202020</v>
      </c>
      <c r="D260">
        <v>50</v>
      </c>
      <c r="F260">
        <v>0</v>
      </c>
      <c r="G260" t="s">
        <v>123</v>
      </c>
      <c r="H260" s="19">
        <v>43941.359351851854</v>
      </c>
      <c r="I260" s="19">
        <v>43941.359351851854</v>
      </c>
      <c r="O260">
        <v>246</v>
      </c>
      <c r="T260" t="s">
        <v>67</v>
      </c>
      <c r="U260" t="s">
        <v>277</v>
      </c>
      <c r="V260" s="19">
        <v>43942</v>
      </c>
      <c r="W260" t="s">
        <v>210</v>
      </c>
      <c r="X260">
        <v>3</v>
      </c>
      <c r="Y260" s="19">
        <v>43941.742222222223</v>
      </c>
      <c r="Z260" s="19">
        <v>43941.359305555554</v>
      </c>
    </row>
    <row r="261" spans="1:26">
      <c r="A261" t="s">
        <v>177</v>
      </c>
      <c r="B261" t="s">
        <v>178</v>
      </c>
      <c r="C261">
        <v>202020</v>
      </c>
      <c r="D261">
        <v>900</v>
      </c>
      <c r="F261">
        <v>0</v>
      </c>
      <c r="G261" t="s">
        <v>135</v>
      </c>
      <c r="H261" s="19">
        <v>43837</v>
      </c>
      <c r="I261" s="19">
        <v>43837</v>
      </c>
      <c r="M261" t="s">
        <v>142</v>
      </c>
      <c r="O261">
        <v>245</v>
      </c>
      <c r="T261" t="s">
        <v>67</v>
      </c>
      <c r="U261" t="s">
        <v>278</v>
      </c>
      <c r="V261" s="19">
        <v>43844</v>
      </c>
      <c r="W261" t="s">
        <v>137</v>
      </c>
      <c r="X261">
        <v>169</v>
      </c>
      <c r="Y261" s="19">
        <v>43838.3516087963</v>
      </c>
      <c r="Z261" s="19">
        <v>43837.349074074074</v>
      </c>
    </row>
    <row r="262" spans="1:26">
      <c r="A262" t="s">
        <v>177</v>
      </c>
      <c r="B262" t="s">
        <v>178</v>
      </c>
      <c r="C262">
        <v>202020</v>
      </c>
      <c r="D262">
        <v>900</v>
      </c>
      <c r="F262">
        <v>0</v>
      </c>
      <c r="G262" t="s">
        <v>135</v>
      </c>
      <c r="H262" s="19">
        <v>43837</v>
      </c>
      <c r="I262" s="19">
        <v>43837</v>
      </c>
      <c r="M262" t="s">
        <v>142</v>
      </c>
      <c r="O262">
        <v>244</v>
      </c>
      <c r="T262" t="s">
        <v>67</v>
      </c>
      <c r="U262" t="s">
        <v>278</v>
      </c>
      <c r="V262" s="19">
        <v>43844</v>
      </c>
      <c r="W262" t="s">
        <v>137</v>
      </c>
      <c r="X262">
        <v>169</v>
      </c>
      <c r="Y262" s="19">
        <v>43838.3516087963</v>
      </c>
      <c r="Z262" s="19">
        <v>43837.348668981482</v>
      </c>
    </row>
    <row r="263" spans="1:26">
      <c r="A263" t="s">
        <v>155</v>
      </c>
      <c r="B263" t="s">
        <v>156</v>
      </c>
      <c r="C263">
        <v>202020</v>
      </c>
      <c r="D263">
        <v>80</v>
      </c>
      <c r="F263">
        <v>0</v>
      </c>
      <c r="G263" t="s">
        <v>135</v>
      </c>
      <c r="H263" s="19">
        <v>43837</v>
      </c>
      <c r="I263" s="19">
        <v>43837</v>
      </c>
      <c r="M263" t="s">
        <v>142</v>
      </c>
      <c r="O263">
        <v>243</v>
      </c>
      <c r="T263" t="s">
        <v>67</v>
      </c>
      <c r="U263" t="s">
        <v>278</v>
      </c>
      <c r="V263" s="19">
        <v>43844</v>
      </c>
      <c r="W263" t="s">
        <v>137</v>
      </c>
      <c r="X263">
        <v>169</v>
      </c>
      <c r="Y263" s="19">
        <v>43838.3516087963</v>
      </c>
      <c r="Z263" s="19">
        <v>43837.348668981482</v>
      </c>
    </row>
    <row r="264" spans="1:26">
      <c r="A264" t="s">
        <v>157</v>
      </c>
      <c r="B264" t="s">
        <v>158</v>
      </c>
      <c r="C264">
        <v>202020</v>
      </c>
      <c r="D264">
        <v>100</v>
      </c>
      <c r="F264">
        <v>0</v>
      </c>
      <c r="G264" t="s">
        <v>135</v>
      </c>
      <c r="H264" s="19">
        <v>43837</v>
      </c>
      <c r="I264" s="19">
        <v>43837</v>
      </c>
      <c r="M264" t="s">
        <v>142</v>
      </c>
      <c r="O264">
        <v>242</v>
      </c>
      <c r="T264" t="s">
        <v>67</v>
      </c>
      <c r="U264" t="s">
        <v>278</v>
      </c>
      <c r="V264" s="19">
        <v>43844</v>
      </c>
      <c r="W264" t="s">
        <v>137</v>
      </c>
      <c r="X264">
        <v>169</v>
      </c>
      <c r="Y264" s="19">
        <v>43838.3516087963</v>
      </c>
      <c r="Z264" s="19">
        <v>43837.348668981482</v>
      </c>
    </row>
    <row r="265" spans="1:26">
      <c r="A265" t="s">
        <v>161</v>
      </c>
      <c r="B265" t="s">
        <v>162</v>
      </c>
      <c r="C265">
        <v>202020</v>
      </c>
      <c r="D265">
        <v>100</v>
      </c>
      <c r="F265">
        <v>0</v>
      </c>
      <c r="G265" t="s">
        <v>135</v>
      </c>
      <c r="H265" s="19">
        <v>43837</v>
      </c>
      <c r="I265" s="19">
        <v>43837</v>
      </c>
      <c r="M265" t="s">
        <v>142</v>
      </c>
      <c r="O265">
        <v>241</v>
      </c>
      <c r="T265" t="s">
        <v>67</v>
      </c>
      <c r="U265" t="s">
        <v>278</v>
      </c>
      <c r="V265" s="19">
        <v>43844</v>
      </c>
      <c r="W265" t="s">
        <v>137</v>
      </c>
      <c r="X265">
        <v>169</v>
      </c>
      <c r="Y265" s="19">
        <v>43838.3516087963</v>
      </c>
      <c r="Z265" s="19">
        <v>43837.348668981482</v>
      </c>
    </row>
    <row r="266" spans="1:26">
      <c r="A266" t="s">
        <v>163</v>
      </c>
      <c r="B266" t="s">
        <v>164</v>
      </c>
      <c r="C266">
        <v>202110</v>
      </c>
      <c r="D266">
        <v>-30</v>
      </c>
      <c r="F266">
        <v>0</v>
      </c>
      <c r="G266" t="s">
        <v>123</v>
      </c>
      <c r="H266" s="19">
        <v>44960.416562500002</v>
      </c>
      <c r="I266" s="19">
        <v>44960.416562500002</v>
      </c>
      <c r="O266">
        <v>286</v>
      </c>
      <c r="T266" t="s">
        <v>67</v>
      </c>
      <c r="U266" t="s">
        <v>209</v>
      </c>
      <c r="V266" s="19">
        <v>44963</v>
      </c>
      <c r="W266" t="s">
        <v>210</v>
      </c>
      <c r="X266">
        <v>773</v>
      </c>
      <c r="Y266" s="19">
        <v>44963.392106481479</v>
      </c>
      <c r="Z266" s="19">
        <v>44960.416527777779</v>
      </c>
    </row>
    <row r="267" spans="1:26">
      <c r="A267" t="s">
        <v>161</v>
      </c>
      <c r="B267" t="s">
        <v>162</v>
      </c>
      <c r="C267">
        <v>202110</v>
      </c>
      <c r="D267">
        <v>-100</v>
      </c>
      <c r="F267">
        <v>0</v>
      </c>
      <c r="G267" t="s">
        <v>123</v>
      </c>
      <c r="H267" s="19">
        <v>44960.416446759256</v>
      </c>
      <c r="I267" s="19">
        <v>44960.416446759256</v>
      </c>
      <c r="O267">
        <v>285</v>
      </c>
      <c r="T267" t="s">
        <v>67</v>
      </c>
      <c r="U267" t="s">
        <v>209</v>
      </c>
      <c r="V267" s="19">
        <v>44963</v>
      </c>
      <c r="W267" t="s">
        <v>210</v>
      </c>
      <c r="X267">
        <v>773</v>
      </c>
      <c r="Y267" s="19">
        <v>44963.392106481479</v>
      </c>
      <c r="Z267" s="19">
        <v>44960.41642361111</v>
      </c>
    </row>
    <row r="268" spans="1:26">
      <c r="A268" t="s">
        <v>159</v>
      </c>
      <c r="B268" t="s">
        <v>160</v>
      </c>
      <c r="C268">
        <v>202110</v>
      </c>
      <c r="D268">
        <v>-100</v>
      </c>
      <c r="F268">
        <v>0</v>
      </c>
      <c r="G268" t="s">
        <v>123</v>
      </c>
      <c r="H268" s="19">
        <v>44960.416319444441</v>
      </c>
      <c r="I268" s="19">
        <v>44960.416319444441</v>
      </c>
      <c r="O268">
        <v>284</v>
      </c>
      <c r="T268" t="s">
        <v>67</v>
      </c>
      <c r="U268" t="s">
        <v>209</v>
      </c>
      <c r="V268" s="19">
        <v>44963</v>
      </c>
      <c r="W268" t="s">
        <v>210</v>
      </c>
      <c r="X268">
        <v>773</v>
      </c>
      <c r="Y268" s="19">
        <v>44963.392106481479</v>
      </c>
      <c r="Z268" s="19">
        <v>44960.416261574072</v>
      </c>
    </row>
    <row r="269" spans="1:26">
      <c r="A269" t="s">
        <v>157</v>
      </c>
      <c r="B269" t="s">
        <v>158</v>
      </c>
      <c r="C269">
        <v>202110</v>
      </c>
      <c r="D269">
        <v>-100</v>
      </c>
      <c r="F269">
        <v>0</v>
      </c>
      <c r="G269" t="s">
        <v>123</v>
      </c>
      <c r="H269" s="19">
        <v>44960.416168981479</v>
      </c>
      <c r="I269" s="19">
        <v>44960.416168981479</v>
      </c>
      <c r="O269">
        <v>283</v>
      </c>
      <c r="T269" t="s">
        <v>67</v>
      </c>
      <c r="U269" t="s">
        <v>209</v>
      </c>
      <c r="V269" s="19">
        <v>44963</v>
      </c>
      <c r="W269" t="s">
        <v>210</v>
      </c>
      <c r="X269">
        <v>773</v>
      </c>
      <c r="Y269" s="19">
        <v>44963.392106481479</v>
      </c>
      <c r="Z269" s="19">
        <v>44960.416134259256</v>
      </c>
    </row>
    <row r="270" spans="1:26">
      <c r="A270" t="s">
        <v>155</v>
      </c>
      <c r="B270" t="s">
        <v>156</v>
      </c>
      <c r="C270">
        <v>202110</v>
      </c>
      <c r="D270">
        <v>-80</v>
      </c>
      <c r="F270">
        <v>0</v>
      </c>
      <c r="G270" t="s">
        <v>123</v>
      </c>
      <c r="H270" s="19">
        <v>44960.415972222225</v>
      </c>
      <c r="I270" s="19">
        <v>44960.415972222225</v>
      </c>
      <c r="O270">
        <v>282</v>
      </c>
      <c r="T270" t="s">
        <v>67</v>
      </c>
      <c r="U270" t="s">
        <v>209</v>
      </c>
      <c r="V270" s="19">
        <v>44963</v>
      </c>
      <c r="W270" t="s">
        <v>210</v>
      </c>
      <c r="X270">
        <v>773</v>
      </c>
      <c r="Y270" s="19">
        <v>44963.392106481479</v>
      </c>
      <c r="Z270" s="19">
        <v>44960.415925925925</v>
      </c>
    </row>
    <row r="271" spans="1:26">
      <c r="A271" t="s">
        <v>177</v>
      </c>
      <c r="B271" t="s">
        <v>178</v>
      </c>
      <c r="C271">
        <v>202110</v>
      </c>
      <c r="D271">
        <v>-1800</v>
      </c>
      <c r="F271">
        <v>0</v>
      </c>
      <c r="G271" t="s">
        <v>135</v>
      </c>
      <c r="H271" s="19">
        <v>44060</v>
      </c>
      <c r="I271" s="19">
        <v>44060</v>
      </c>
      <c r="M271" t="s">
        <v>142</v>
      </c>
      <c r="O271">
        <v>262</v>
      </c>
      <c r="T271" t="s">
        <v>67</v>
      </c>
      <c r="U271" t="s">
        <v>279</v>
      </c>
      <c r="V271" s="19">
        <v>44061</v>
      </c>
      <c r="W271" t="s">
        <v>137</v>
      </c>
      <c r="X271">
        <v>183</v>
      </c>
      <c r="Y271" s="19">
        <v>44060.830891203703</v>
      </c>
      <c r="Z271" s="19">
        <v>44060.522835648146</v>
      </c>
    </row>
    <row r="272" spans="1:26">
      <c r="A272" t="s">
        <v>177</v>
      </c>
      <c r="B272" t="s">
        <v>178</v>
      </c>
      <c r="C272">
        <v>202110</v>
      </c>
      <c r="D272">
        <v>1800</v>
      </c>
      <c r="F272">
        <v>0</v>
      </c>
      <c r="G272" t="s">
        <v>135</v>
      </c>
      <c r="H272" s="19">
        <v>44060</v>
      </c>
      <c r="I272" s="19">
        <v>44060</v>
      </c>
      <c r="M272" t="s">
        <v>142</v>
      </c>
      <c r="O272">
        <v>261</v>
      </c>
      <c r="P272">
        <v>262</v>
      </c>
      <c r="T272" t="s">
        <v>67</v>
      </c>
      <c r="U272" t="s">
        <v>279</v>
      </c>
      <c r="V272" s="19">
        <v>44061</v>
      </c>
      <c r="W272" t="s">
        <v>137</v>
      </c>
      <c r="X272">
        <v>183</v>
      </c>
      <c r="Y272" s="19">
        <v>44060.830891203703</v>
      </c>
      <c r="Z272" s="19">
        <v>44060.514293981483</v>
      </c>
    </row>
    <row r="273" spans="1:26">
      <c r="A273" t="s">
        <v>155</v>
      </c>
      <c r="B273" t="s">
        <v>156</v>
      </c>
      <c r="C273">
        <v>202110</v>
      </c>
      <c r="D273">
        <v>80</v>
      </c>
      <c r="F273">
        <v>0</v>
      </c>
      <c r="G273" t="s">
        <v>135</v>
      </c>
      <c r="H273" s="19">
        <v>44060</v>
      </c>
      <c r="I273" s="19">
        <v>44060</v>
      </c>
      <c r="M273" t="s">
        <v>142</v>
      </c>
      <c r="O273">
        <v>260</v>
      </c>
      <c r="P273">
        <v>282</v>
      </c>
      <c r="T273" t="s">
        <v>67</v>
      </c>
      <c r="U273" t="s">
        <v>279</v>
      </c>
      <c r="V273" s="19">
        <v>44061</v>
      </c>
      <c r="W273" t="s">
        <v>137</v>
      </c>
      <c r="X273">
        <v>183</v>
      </c>
      <c r="Y273" s="19">
        <v>44060.830891203703</v>
      </c>
      <c r="Z273" s="19">
        <v>44060.514293981483</v>
      </c>
    </row>
    <row r="274" spans="1:26">
      <c r="A274" t="s">
        <v>157</v>
      </c>
      <c r="B274" t="s">
        <v>158</v>
      </c>
      <c r="C274">
        <v>202110</v>
      </c>
      <c r="D274">
        <v>100</v>
      </c>
      <c r="F274">
        <v>0</v>
      </c>
      <c r="G274" t="s">
        <v>135</v>
      </c>
      <c r="H274" s="19">
        <v>44060</v>
      </c>
      <c r="I274" s="19">
        <v>44060</v>
      </c>
      <c r="M274" t="s">
        <v>142</v>
      </c>
      <c r="O274">
        <v>259</v>
      </c>
      <c r="P274">
        <v>283</v>
      </c>
      <c r="T274" t="s">
        <v>67</v>
      </c>
      <c r="U274" t="s">
        <v>279</v>
      </c>
      <c r="V274" s="19">
        <v>44061</v>
      </c>
      <c r="W274" t="s">
        <v>137</v>
      </c>
      <c r="X274">
        <v>183</v>
      </c>
      <c r="Y274" s="19">
        <v>44060.830891203703</v>
      </c>
      <c r="Z274" s="19">
        <v>44060.514293981483</v>
      </c>
    </row>
    <row r="275" spans="1:26">
      <c r="A275" t="s">
        <v>159</v>
      </c>
      <c r="B275" t="s">
        <v>160</v>
      </c>
      <c r="C275">
        <v>202110</v>
      </c>
      <c r="D275">
        <v>100</v>
      </c>
      <c r="F275">
        <v>0</v>
      </c>
      <c r="G275" t="s">
        <v>135</v>
      </c>
      <c r="H275" s="19">
        <v>44060</v>
      </c>
      <c r="I275" s="19">
        <v>44060</v>
      </c>
      <c r="M275" t="s">
        <v>142</v>
      </c>
      <c r="O275">
        <v>258</v>
      </c>
      <c r="P275">
        <v>284</v>
      </c>
      <c r="T275" t="s">
        <v>67</v>
      </c>
      <c r="U275" t="s">
        <v>279</v>
      </c>
      <c r="V275" s="19">
        <v>44061</v>
      </c>
      <c r="W275" t="s">
        <v>137</v>
      </c>
      <c r="X275">
        <v>183</v>
      </c>
      <c r="Y275" s="19">
        <v>44060.830891203703</v>
      </c>
      <c r="Z275" s="19">
        <v>44060.514293981483</v>
      </c>
    </row>
    <row r="276" spans="1:26">
      <c r="A276" t="s">
        <v>161</v>
      </c>
      <c r="B276" t="s">
        <v>162</v>
      </c>
      <c r="C276">
        <v>202110</v>
      </c>
      <c r="D276">
        <v>100</v>
      </c>
      <c r="F276">
        <v>0</v>
      </c>
      <c r="G276" t="s">
        <v>135</v>
      </c>
      <c r="H276" s="19">
        <v>44060</v>
      </c>
      <c r="I276" s="19">
        <v>44060</v>
      </c>
      <c r="M276" t="s">
        <v>142</v>
      </c>
      <c r="O276">
        <v>257</v>
      </c>
      <c r="P276">
        <v>285</v>
      </c>
      <c r="T276" t="s">
        <v>67</v>
      </c>
      <c r="U276" t="s">
        <v>279</v>
      </c>
      <c r="V276" s="19">
        <v>44061</v>
      </c>
      <c r="W276" t="s">
        <v>137</v>
      </c>
      <c r="X276">
        <v>183</v>
      </c>
      <c r="Y276" s="19">
        <v>44060.830891203703</v>
      </c>
      <c r="Z276" s="19">
        <v>44060.514293981483</v>
      </c>
    </row>
    <row r="277" spans="1:26">
      <c r="A277" t="s">
        <v>163</v>
      </c>
      <c r="B277" t="s">
        <v>164</v>
      </c>
      <c r="C277">
        <v>202110</v>
      </c>
      <c r="D277">
        <v>30</v>
      </c>
      <c r="F277">
        <v>0</v>
      </c>
      <c r="G277" t="s">
        <v>135</v>
      </c>
      <c r="H277" s="19">
        <v>44060</v>
      </c>
      <c r="I277" s="19">
        <v>44060</v>
      </c>
      <c r="M277" t="s">
        <v>142</v>
      </c>
      <c r="O277">
        <v>256</v>
      </c>
      <c r="P277">
        <v>286</v>
      </c>
      <c r="T277" t="s">
        <v>67</v>
      </c>
      <c r="U277" t="s">
        <v>279</v>
      </c>
      <c r="V277" s="19">
        <v>44061</v>
      </c>
      <c r="W277" t="s">
        <v>137</v>
      </c>
      <c r="X277">
        <v>183</v>
      </c>
      <c r="Y277" s="19">
        <v>44060.830891203703</v>
      </c>
      <c r="Z277" s="19">
        <v>44060.514293981483</v>
      </c>
    </row>
    <row r="278" spans="1:26">
      <c r="A278" t="s">
        <v>159</v>
      </c>
      <c r="B278" t="s">
        <v>160</v>
      </c>
      <c r="C278">
        <v>202120</v>
      </c>
      <c r="D278">
        <v>100</v>
      </c>
      <c r="F278">
        <v>100</v>
      </c>
      <c r="G278" t="s">
        <v>135</v>
      </c>
      <c r="H278" s="19">
        <v>45019.570092592592</v>
      </c>
      <c r="I278" s="19">
        <v>45019.570092592592</v>
      </c>
      <c r="O278">
        <v>288</v>
      </c>
      <c r="T278" t="s">
        <v>67</v>
      </c>
      <c r="U278" t="s">
        <v>280</v>
      </c>
      <c r="V278" s="19">
        <v>45019</v>
      </c>
      <c r="W278" t="s">
        <v>281</v>
      </c>
      <c r="X278">
        <v>454</v>
      </c>
      <c r="Y278" s="19">
        <v>45019.570092592592</v>
      </c>
      <c r="Z278" s="19">
        <v>45019.570092592592</v>
      </c>
    </row>
    <row r="279" spans="1:26">
      <c r="A279" t="s">
        <v>163</v>
      </c>
      <c r="B279" t="s">
        <v>164</v>
      </c>
      <c r="C279">
        <v>202120</v>
      </c>
      <c r="D279">
        <v>30</v>
      </c>
      <c r="F279">
        <v>30</v>
      </c>
      <c r="G279" t="s">
        <v>135</v>
      </c>
      <c r="H279" s="19">
        <v>45019.570092592592</v>
      </c>
      <c r="I279" s="19">
        <v>45019.570092592592</v>
      </c>
      <c r="O279">
        <v>287</v>
      </c>
      <c r="T279" t="s">
        <v>67</v>
      </c>
      <c r="U279" t="s">
        <v>280</v>
      </c>
      <c r="V279" s="19">
        <v>45019</v>
      </c>
      <c r="W279" t="s">
        <v>281</v>
      </c>
      <c r="X279">
        <v>454</v>
      </c>
      <c r="Y279" s="19">
        <v>45019.570092592592</v>
      </c>
      <c r="Z279" s="19">
        <v>45019.570092592592</v>
      </c>
    </row>
    <row r="280" spans="1:26">
      <c r="A280" t="s">
        <v>121</v>
      </c>
      <c r="B280" t="s">
        <v>282</v>
      </c>
      <c r="C280">
        <v>202120</v>
      </c>
      <c r="E280">
        <v>450</v>
      </c>
      <c r="F280">
        <v>0</v>
      </c>
      <c r="G280" t="s">
        <v>123</v>
      </c>
      <c r="H280" s="19">
        <v>44960.414027777777</v>
      </c>
      <c r="I280" s="19">
        <v>44960.414027777777</v>
      </c>
      <c r="L280">
        <v>542313</v>
      </c>
      <c r="O280">
        <v>281</v>
      </c>
      <c r="T280" t="s">
        <v>67</v>
      </c>
      <c r="U280" t="s">
        <v>209</v>
      </c>
      <c r="V280" s="19">
        <v>44963</v>
      </c>
      <c r="W280" t="s">
        <v>210</v>
      </c>
      <c r="X280">
        <v>773</v>
      </c>
      <c r="Y280" s="19">
        <v>44963.392106481479</v>
      </c>
      <c r="Z280" s="19">
        <v>44960.413981481484</v>
      </c>
    </row>
    <row r="281" spans="1:26">
      <c r="A281" t="s">
        <v>115</v>
      </c>
      <c r="B281" t="s">
        <v>116</v>
      </c>
      <c r="C281">
        <v>202120</v>
      </c>
      <c r="E281">
        <v>1350</v>
      </c>
      <c r="F281">
        <v>0</v>
      </c>
      <c r="G281" t="s">
        <v>29</v>
      </c>
      <c r="H281" s="19">
        <v>44783.383819444447</v>
      </c>
      <c r="I281" s="19">
        <v>44783.383819444447</v>
      </c>
      <c r="O281">
        <v>279</v>
      </c>
      <c r="T281" t="s">
        <v>67</v>
      </c>
      <c r="U281" t="s">
        <v>283</v>
      </c>
      <c r="V281" s="19">
        <v>44783</v>
      </c>
      <c r="W281" t="s">
        <v>118</v>
      </c>
      <c r="X281">
        <v>105</v>
      </c>
      <c r="Y281" s="19">
        <v>44783.394849537035</v>
      </c>
      <c r="Z281" s="19">
        <v>44783.383819444447</v>
      </c>
    </row>
    <row r="282" spans="1:26">
      <c r="A282" t="s">
        <v>284</v>
      </c>
      <c r="B282" t="s">
        <v>285</v>
      </c>
      <c r="C282">
        <v>202120</v>
      </c>
      <c r="E282">
        <v>30</v>
      </c>
      <c r="F282">
        <v>0</v>
      </c>
      <c r="G282" t="s">
        <v>123</v>
      </c>
      <c r="H282" s="19">
        <v>44397.281006944446</v>
      </c>
      <c r="I282" s="19">
        <v>44397.281006944446</v>
      </c>
      <c r="L282">
        <v>507714</v>
      </c>
      <c r="O282">
        <v>276</v>
      </c>
      <c r="T282" t="s">
        <v>67</v>
      </c>
      <c r="U282" t="s">
        <v>286</v>
      </c>
      <c r="V282" s="19">
        <v>44397</v>
      </c>
      <c r="W282" t="s">
        <v>287</v>
      </c>
      <c r="X282">
        <v>26</v>
      </c>
      <c r="Y282" s="19">
        <v>44397.810682870368</v>
      </c>
      <c r="Z282" s="19">
        <v>44397.280960648146</v>
      </c>
    </row>
    <row r="283" spans="1:26">
      <c r="A283" t="s">
        <v>288</v>
      </c>
      <c r="B283" t="s">
        <v>289</v>
      </c>
      <c r="C283">
        <v>202120</v>
      </c>
      <c r="D283">
        <v>30</v>
      </c>
      <c r="F283">
        <v>0</v>
      </c>
      <c r="G283" t="s">
        <v>123</v>
      </c>
      <c r="H283" s="19">
        <v>44397.280833333331</v>
      </c>
      <c r="I283" s="19">
        <v>44397.280833333331</v>
      </c>
      <c r="L283">
        <v>507714</v>
      </c>
      <c r="O283">
        <v>275</v>
      </c>
      <c r="T283" t="s">
        <v>67</v>
      </c>
      <c r="U283" t="s">
        <v>286</v>
      </c>
      <c r="V283" s="19">
        <v>44397</v>
      </c>
      <c r="W283" t="s">
        <v>287</v>
      </c>
      <c r="X283">
        <v>26</v>
      </c>
      <c r="Y283" s="19">
        <v>44397.810682870368</v>
      </c>
      <c r="Z283" s="19">
        <v>44397.280787037038</v>
      </c>
    </row>
    <row r="284" spans="1:26">
      <c r="A284" t="s">
        <v>159</v>
      </c>
      <c r="B284" t="s">
        <v>160</v>
      </c>
      <c r="C284">
        <v>202120</v>
      </c>
      <c r="D284">
        <v>-100</v>
      </c>
      <c r="F284">
        <v>0</v>
      </c>
      <c r="G284" t="s">
        <v>135</v>
      </c>
      <c r="H284" s="19">
        <v>44336.638101851851</v>
      </c>
      <c r="I284" s="19">
        <v>44336.638101851851</v>
      </c>
      <c r="O284">
        <v>272</v>
      </c>
      <c r="T284" t="s">
        <v>67</v>
      </c>
      <c r="U284" t="s">
        <v>290</v>
      </c>
      <c r="V284" s="19">
        <v>44340</v>
      </c>
      <c r="W284" t="s">
        <v>281</v>
      </c>
      <c r="X284">
        <v>322</v>
      </c>
      <c r="Y284" s="19">
        <v>44336.673194444447</v>
      </c>
      <c r="Z284" s="19">
        <v>44336.638101851851</v>
      </c>
    </row>
    <row r="285" spans="1:26">
      <c r="A285" t="s">
        <v>163</v>
      </c>
      <c r="B285" t="s">
        <v>164</v>
      </c>
      <c r="C285">
        <v>202120</v>
      </c>
      <c r="D285">
        <v>-30</v>
      </c>
      <c r="F285">
        <v>0</v>
      </c>
      <c r="G285" t="s">
        <v>135</v>
      </c>
      <c r="H285" s="19">
        <v>44336.638101851851</v>
      </c>
      <c r="I285" s="19">
        <v>44336.638101851851</v>
      </c>
      <c r="O285">
        <v>271</v>
      </c>
      <c r="T285" t="s">
        <v>67</v>
      </c>
      <c r="U285" t="s">
        <v>290</v>
      </c>
      <c r="V285" s="19">
        <v>44340</v>
      </c>
      <c r="W285" t="s">
        <v>281</v>
      </c>
      <c r="X285">
        <v>322</v>
      </c>
      <c r="Y285" s="19">
        <v>44336.673194444447</v>
      </c>
      <c r="Z285" s="19">
        <v>44336.638101851851</v>
      </c>
    </row>
    <row r="286" spans="1:26">
      <c r="A286" t="s">
        <v>121</v>
      </c>
      <c r="B286" t="s">
        <v>122</v>
      </c>
      <c r="C286">
        <v>202120</v>
      </c>
      <c r="E286">
        <v>410</v>
      </c>
      <c r="F286">
        <v>0</v>
      </c>
      <c r="G286" t="s">
        <v>123</v>
      </c>
      <c r="H286" s="19">
        <v>44286.378263888888</v>
      </c>
      <c r="I286" s="19">
        <v>44286.378263888888</v>
      </c>
      <c r="L286">
        <v>502844</v>
      </c>
      <c r="O286">
        <v>269</v>
      </c>
      <c r="T286" t="s">
        <v>67</v>
      </c>
      <c r="U286" t="s">
        <v>291</v>
      </c>
      <c r="V286" s="19">
        <v>44340</v>
      </c>
      <c r="W286" t="s">
        <v>292</v>
      </c>
      <c r="X286">
        <v>384</v>
      </c>
      <c r="Y286" s="19">
        <v>44286.643796296295</v>
      </c>
      <c r="Z286" s="19">
        <v>44286.378333333334</v>
      </c>
    </row>
    <row r="287" spans="1:26">
      <c r="A287" t="s">
        <v>177</v>
      </c>
      <c r="B287" t="s">
        <v>178</v>
      </c>
      <c r="C287">
        <v>202120</v>
      </c>
      <c r="D287">
        <v>1800</v>
      </c>
      <c r="F287">
        <v>0</v>
      </c>
      <c r="G287" t="s">
        <v>135</v>
      </c>
      <c r="H287" s="19">
        <v>44263</v>
      </c>
      <c r="I287" s="19">
        <v>44263</v>
      </c>
      <c r="M287" t="s">
        <v>142</v>
      </c>
      <c r="O287">
        <v>268</v>
      </c>
      <c r="T287" t="s">
        <v>67</v>
      </c>
      <c r="U287" t="s">
        <v>293</v>
      </c>
      <c r="V287" s="19">
        <v>44264</v>
      </c>
      <c r="W287" t="s">
        <v>294</v>
      </c>
      <c r="X287">
        <v>457</v>
      </c>
      <c r="Y287" s="19">
        <v>44263.590370370373</v>
      </c>
      <c r="Z287" s="19">
        <v>44263.580011574071</v>
      </c>
    </row>
    <row r="288" spans="1:26">
      <c r="A288" t="s">
        <v>155</v>
      </c>
      <c r="B288" t="s">
        <v>156</v>
      </c>
      <c r="C288">
        <v>202120</v>
      </c>
      <c r="D288">
        <v>80</v>
      </c>
      <c r="F288">
        <v>0</v>
      </c>
      <c r="G288" t="s">
        <v>135</v>
      </c>
      <c r="H288" s="19">
        <v>44263</v>
      </c>
      <c r="I288" s="19">
        <v>44263</v>
      </c>
      <c r="M288" t="s">
        <v>142</v>
      </c>
      <c r="O288">
        <v>267</v>
      </c>
      <c r="T288" t="s">
        <v>67</v>
      </c>
      <c r="U288" t="s">
        <v>293</v>
      </c>
      <c r="V288" s="19">
        <v>44264</v>
      </c>
      <c r="W288" t="s">
        <v>294</v>
      </c>
      <c r="X288">
        <v>457</v>
      </c>
      <c r="Y288" s="19">
        <v>44263.590370370373</v>
      </c>
      <c r="Z288" s="19">
        <v>44263.580011574071</v>
      </c>
    </row>
    <row r="289" spans="1:26">
      <c r="A289" t="s">
        <v>157</v>
      </c>
      <c r="B289" t="s">
        <v>158</v>
      </c>
      <c r="C289">
        <v>202120</v>
      </c>
      <c r="D289">
        <v>100</v>
      </c>
      <c r="F289">
        <v>0</v>
      </c>
      <c r="G289" t="s">
        <v>135</v>
      </c>
      <c r="H289" s="19">
        <v>44263</v>
      </c>
      <c r="I289" s="19">
        <v>44263</v>
      </c>
      <c r="M289" t="s">
        <v>142</v>
      </c>
      <c r="O289">
        <v>266</v>
      </c>
      <c r="T289" t="s">
        <v>67</v>
      </c>
      <c r="U289" t="s">
        <v>293</v>
      </c>
      <c r="V289" s="19">
        <v>44264</v>
      </c>
      <c r="W289" t="s">
        <v>294</v>
      </c>
      <c r="X289">
        <v>457</v>
      </c>
      <c r="Y289" s="19">
        <v>44263.590370370373</v>
      </c>
      <c r="Z289" s="19">
        <v>44263.580011574071</v>
      </c>
    </row>
    <row r="290" spans="1:26">
      <c r="A290" t="s">
        <v>159</v>
      </c>
      <c r="B290" t="s">
        <v>160</v>
      </c>
      <c r="C290">
        <v>202120</v>
      </c>
      <c r="D290">
        <v>100</v>
      </c>
      <c r="F290">
        <v>0</v>
      </c>
      <c r="G290" t="s">
        <v>135</v>
      </c>
      <c r="H290" s="19">
        <v>44263</v>
      </c>
      <c r="I290" s="19">
        <v>44263</v>
      </c>
      <c r="M290" t="s">
        <v>142</v>
      </c>
      <c r="O290">
        <v>265</v>
      </c>
      <c r="T290" t="s">
        <v>67</v>
      </c>
      <c r="U290" t="s">
        <v>293</v>
      </c>
      <c r="V290" s="19">
        <v>44264</v>
      </c>
      <c r="W290" t="s">
        <v>294</v>
      </c>
      <c r="X290">
        <v>457</v>
      </c>
      <c r="Y290" s="19">
        <v>44263.590370370373</v>
      </c>
      <c r="Z290" s="19">
        <v>44263.580011574071</v>
      </c>
    </row>
    <row r="291" spans="1:26">
      <c r="A291" t="s">
        <v>161</v>
      </c>
      <c r="B291" t="s">
        <v>162</v>
      </c>
      <c r="C291">
        <v>202120</v>
      </c>
      <c r="D291">
        <v>100</v>
      </c>
      <c r="F291">
        <v>0</v>
      </c>
      <c r="G291" t="s">
        <v>135</v>
      </c>
      <c r="H291" s="19">
        <v>44263</v>
      </c>
      <c r="I291" s="19">
        <v>44263</v>
      </c>
      <c r="M291" t="s">
        <v>142</v>
      </c>
      <c r="O291">
        <v>264</v>
      </c>
      <c r="T291" t="s">
        <v>67</v>
      </c>
      <c r="U291" t="s">
        <v>293</v>
      </c>
      <c r="V291" s="19">
        <v>44264</v>
      </c>
      <c r="W291" t="s">
        <v>294</v>
      </c>
      <c r="X291">
        <v>457</v>
      </c>
      <c r="Y291" s="19">
        <v>44263.590370370373</v>
      </c>
      <c r="Z291" s="19">
        <v>44263.580011574071</v>
      </c>
    </row>
    <row r="292" spans="1:26">
      <c r="A292" t="s">
        <v>163</v>
      </c>
      <c r="B292" t="s">
        <v>164</v>
      </c>
      <c r="C292">
        <v>202120</v>
      </c>
      <c r="D292">
        <v>30</v>
      </c>
      <c r="F292">
        <v>0</v>
      </c>
      <c r="G292" t="s">
        <v>135</v>
      </c>
      <c r="H292" s="19">
        <v>44263</v>
      </c>
      <c r="I292" s="19">
        <v>44263</v>
      </c>
      <c r="M292" t="s">
        <v>142</v>
      </c>
      <c r="O292">
        <v>263</v>
      </c>
      <c r="T292" t="s">
        <v>67</v>
      </c>
      <c r="U292" t="s">
        <v>293</v>
      </c>
      <c r="V292" s="19">
        <v>44264</v>
      </c>
      <c r="W292" t="s">
        <v>294</v>
      </c>
      <c r="X292">
        <v>457</v>
      </c>
      <c r="Y292" s="19">
        <v>44263.590370370373</v>
      </c>
      <c r="Z292" s="19">
        <v>44263.580011574071</v>
      </c>
    </row>
    <row r="293" spans="1:26">
      <c r="H293" s="19"/>
      <c r="I293" s="19"/>
      <c r="V293" s="19"/>
      <c r="Y293" s="19"/>
      <c r="Z293" s="19"/>
    </row>
    <row r="294" spans="1:26">
      <c r="H294" s="19"/>
      <c r="I294" s="19"/>
      <c r="V294" s="19"/>
      <c r="Y294" s="19"/>
      <c r="Z294" s="19"/>
    </row>
    <row r="295" spans="1:26">
      <c r="H295" s="19"/>
      <c r="I295" s="19"/>
      <c r="V295" s="19"/>
      <c r="Y295" s="19"/>
      <c r="Z295" s="19"/>
    </row>
    <row r="296" spans="1:26">
      <c r="H296" s="19"/>
      <c r="I296" s="19"/>
      <c r="V296" s="19"/>
      <c r="Y296" s="19"/>
      <c r="Z296" s="19"/>
    </row>
    <row r="297" spans="1:26">
      <c r="H297" s="19"/>
      <c r="I297" s="19"/>
      <c r="V297" s="19"/>
      <c r="Y297" s="19"/>
      <c r="Z297" s="19"/>
    </row>
    <row r="298" spans="1:26">
      <c r="H298" s="19"/>
      <c r="I298" s="19"/>
      <c r="V298" s="19"/>
      <c r="Y298" s="19"/>
      <c r="Z298" s="19"/>
    </row>
    <row r="299" spans="1:26">
      <c r="H299" s="19"/>
      <c r="I299" s="19"/>
      <c r="V299" s="19"/>
      <c r="Y299" s="19"/>
      <c r="Z299" s="19"/>
    </row>
    <row r="300" spans="1:26">
      <c r="H300" s="19"/>
      <c r="I300" s="19"/>
      <c r="V300" s="19"/>
      <c r="Y300" s="19"/>
      <c r="Z300" s="19"/>
    </row>
    <row r="301" spans="1:26">
      <c r="H301" s="19"/>
      <c r="I301" s="19"/>
      <c r="V301" s="19"/>
      <c r="Y301" s="19"/>
      <c r="Z301" s="19"/>
    </row>
    <row r="302" spans="1:26">
      <c r="H302" s="19"/>
      <c r="I302" s="19"/>
      <c r="V302" s="19"/>
      <c r="Y302" s="19"/>
      <c r="Z302" s="19"/>
    </row>
    <row r="303" spans="1:26">
      <c r="H303" s="19"/>
      <c r="I303" s="19"/>
      <c r="V303" s="19"/>
      <c r="Y303" s="19"/>
      <c r="Z303" s="19"/>
    </row>
    <row r="304" spans="1:26">
      <c r="H304" s="19"/>
      <c r="I304" s="19"/>
      <c r="V304" s="19"/>
      <c r="Y304" s="19"/>
      <c r="Z304" s="19"/>
    </row>
    <row r="305" spans="8:26">
      <c r="H305" s="19"/>
      <c r="I305" s="19"/>
      <c r="V305" s="19"/>
      <c r="Y305" s="19"/>
      <c r="Z305" s="19"/>
    </row>
    <row r="306" spans="8:26">
      <c r="H306" s="19"/>
      <c r="I306" s="19"/>
      <c r="V306" s="19"/>
      <c r="Y306" s="19"/>
      <c r="Z306" s="19"/>
    </row>
    <row r="307" spans="8:26">
      <c r="H307" s="19"/>
      <c r="I307" s="19"/>
      <c r="V307" s="19"/>
      <c r="Y307" s="19"/>
      <c r="Z307" s="19"/>
    </row>
    <row r="308" spans="8:26">
      <c r="H308" s="19"/>
      <c r="I308" s="19"/>
      <c r="V308" s="19"/>
      <c r="Y308" s="19"/>
      <c r="Z308" s="19"/>
    </row>
    <row r="309" spans="8:26">
      <c r="H309" s="19"/>
      <c r="I309" s="19"/>
      <c r="V309" s="19"/>
      <c r="Y309" s="19"/>
      <c r="Z309" s="19"/>
    </row>
    <row r="310" spans="8:26">
      <c r="H310" s="19"/>
      <c r="I310" s="19"/>
      <c r="V310" s="19"/>
      <c r="Y310" s="19"/>
      <c r="Z310" s="19"/>
    </row>
    <row r="311" spans="8:26">
      <c r="H311" s="19"/>
      <c r="I311" s="19"/>
      <c r="V311" s="19"/>
      <c r="Y311" s="19"/>
      <c r="Z311" s="19"/>
    </row>
    <row r="312" spans="8:26">
      <c r="H312" s="19"/>
      <c r="I312" s="19"/>
      <c r="V312" s="19"/>
      <c r="Y312" s="19"/>
      <c r="Z312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51AB5F632E45468DC544AF76E3B2E4" ma:contentTypeVersion="4" ma:contentTypeDescription="Create a new document." ma:contentTypeScope="" ma:versionID="a755487e4379184b5ae8259972130972">
  <xsd:schema xmlns:xsd="http://www.w3.org/2001/XMLSchema" xmlns:xs="http://www.w3.org/2001/XMLSchema" xmlns:p="http://schemas.microsoft.com/office/2006/metadata/properties" xmlns:ns2="c798ba9a-2c90-45fc-b427-da701bf2a7ff" xmlns:ns3="4f9216b7-13a6-4d55-aa6f-fe83b55cded6" targetNamespace="http://schemas.microsoft.com/office/2006/metadata/properties" ma:root="true" ma:fieldsID="8df3166d7b2ae0b281a6a218f5135177" ns2:_="" ns3:_="">
    <xsd:import namespace="c798ba9a-2c90-45fc-b427-da701bf2a7ff"/>
    <xsd:import namespace="4f9216b7-13a6-4d55-aa6f-fe83b55cde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98ba9a-2c90-45fc-b427-da701bf2a7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216b7-13a6-4d55-aa6f-fe83b55cded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825B44-7223-4523-95BE-C3753F00493D}"/>
</file>

<file path=customXml/itemProps2.xml><?xml version="1.0" encoding="utf-8"?>
<ds:datastoreItem xmlns:ds="http://schemas.openxmlformats.org/officeDocument/2006/customXml" ds:itemID="{AE44FCCC-8EC7-492F-8048-65A6937738F5}"/>
</file>

<file path=customXml/itemProps3.xml><?xml version="1.0" encoding="utf-8"?>
<ds:datastoreItem xmlns:ds="http://schemas.openxmlformats.org/officeDocument/2006/customXml" ds:itemID="{6EEDE1DB-3BF3-49C1-8B3E-81B303EB7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gdpaul</dc:creator>
  <cp:keywords/>
  <dc:description/>
  <cp:lastModifiedBy>Darren Headley</cp:lastModifiedBy>
  <cp:revision/>
  <dcterms:created xsi:type="dcterms:W3CDTF">2019-01-11T16:41:26Z</dcterms:created>
  <dcterms:modified xsi:type="dcterms:W3CDTF">2025-10-30T20:42:45Z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0x0101009D51AB5F632E45468DC544AF76E3B2E4</vt:lpwstr>
  </property>
</Properties>
</file>
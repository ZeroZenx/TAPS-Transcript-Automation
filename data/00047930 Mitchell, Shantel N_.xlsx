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L:\Faculty\Registry\STUDENT LETTERS\FEES\"/>
    </mc:Choice>
  </mc:AlternateContent>
  <bookViews>
    <workbookView xWindow="0" yWindow="0" windowWidth="25200" windowHeight="10095"/>
  </bookViews>
  <sheets>
    <sheet name="CREDITS" sheetId="1" r:id="rId1"/>
    <sheet name="GATE" sheetId="6" r:id="rId2"/>
    <sheet name="BANNER" sheetId="7" r:id="rId3"/>
    <sheet name="SUMMARY" sheetId="8" r:id="rId4"/>
    <sheet name="QUICK GRID" sheetId="2" r:id="rId5"/>
    <sheet name="Status" sheetId="4" r:id="rId6"/>
  </sheets>
  <definedNames>
    <definedName name="_xlnm._FilterDatabase" localSheetId="2" hidden="1">BANNER!$A$9:$E$9</definedName>
    <definedName name="_xlnm._FilterDatabase" localSheetId="0" hidden="1">CREDITS!$A$9:$K$9</definedName>
    <definedName name="_xlnm._FilterDatabase" localSheetId="1" hidden="1">GATE!$A$9:$E$9</definedName>
    <definedName name="_xlnm._FilterDatabase" localSheetId="4" hidden="1">'QUICK GRID'!$A$2:$N$2</definedName>
    <definedName name="_xlnm._FilterDatabase" localSheetId="3" hidden="1">SUMMARY!$A$9:$D$9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8" i="8" l="1"/>
  <c r="A8" i="7"/>
  <c r="A8" i="6" l="1"/>
  <c r="C30" i="1" l="1"/>
  <c r="B33" i="1" l="1"/>
  <c r="A25" i="2"/>
  <c r="B25" i="2"/>
  <c r="D25" i="2"/>
  <c r="E25" i="2"/>
  <c r="F25" i="2"/>
  <c r="I25" i="2"/>
  <c r="J25" i="2"/>
  <c r="K25" i="2"/>
  <c r="A32" i="8"/>
  <c r="D32" i="8"/>
  <c r="A32" i="7"/>
  <c r="A32" i="6"/>
  <c r="C32" i="1"/>
  <c r="G32" i="1" s="1"/>
  <c r="G32" i="6" s="1"/>
  <c r="F32" i="1"/>
  <c r="C32" i="6" s="1"/>
  <c r="H32" i="1"/>
  <c r="P25" i="2" s="1"/>
  <c r="I32" i="1"/>
  <c r="Q25" i="2" s="1"/>
  <c r="H32" i="6" l="1"/>
  <c r="D32" i="6"/>
  <c r="C32" i="7"/>
  <c r="G25" i="2"/>
  <c r="B32" i="7"/>
  <c r="O25" i="2"/>
  <c r="C25" i="2"/>
  <c r="C11" i="1"/>
  <c r="G11" i="1" s="1"/>
  <c r="C12" i="1"/>
  <c r="G12" i="1" s="1"/>
  <c r="C13" i="1"/>
  <c r="G13" i="1" s="1"/>
  <c r="C14" i="1"/>
  <c r="G14" i="1" s="1"/>
  <c r="C15" i="1"/>
  <c r="G15" i="1" s="1"/>
  <c r="C16" i="1"/>
  <c r="G16" i="1" s="1"/>
  <c r="C17" i="1"/>
  <c r="G17" i="1" s="1"/>
  <c r="A36" i="6"/>
  <c r="C29" i="1"/>
  <c r="G29" i="1" s="1"/>
  <c r="O22" i="2" s="1"/>
  <c r="C31" i="1"/>
  <c r="G31" i="1" s="1"/>
  <c r="A31" i="8"/>
  <c r="D31" i="8"/>
  <c r="C24" i="1"/>
  <c r="G24" i="1" s="1"/>
  <c r="G24" i="6" s="1"/>
  <c r="C21" i="1"/>
  <c r="G21" i="1" s="1"/>
  <c r="C22" i="1"/>
  <c r="C15" i="2" s="1"/>
  <c r="C23" i="1"/>
  <c r="G23" i="1" s="1"/>
  <c r="O16" i="2" s="1"/>
  <c r="C25" i="1"/>
  <c r="G25" i="1" s="1"/>
  <c r="C26" i="1"/>
  <c r="C19" i="2" s="1"/>
  <c r="C27" i="1"/>
  <c r="C20" i="2" s="1"/>
  <c r="C28" i="1"/>
  <c r="C21" i="2" s="1"/>
  <c r="A36" i="7"/>
  <c r="A27" i="2"/>
  <c r="A36" i="8"/>
  <c r="C9" i="7"/>
  <c r="H9" i="6"/>
  <c r="G9" i="6"/>
  <c r="K3" i="2"/>
  <c r="K4" i="2"/>
  <c r="K5" i="2"/>
  <c r="K6" i="2"/>
  <c r="K7" i="2"/>
  <c r="K8" i="2"/>
  <c r="K9" i="2"/>
  <c r="K10" i="2"/>
  <c r="K11" i="2"/>
  <c r="K12" i="2"/>
  <c r="K13" i="2"/>
  <c r="K14" i="2"/>
  <c r="K15" i="2"/>
  <c r="K16" i="2"/>
  <c r="K17" i="2"/>
  <c r="K18" i="2"/>
  <c r="K19" i="2"/>
  <c r="K20" i="2"/>
  <c r="K21" i="2"/>
  <c r="K22" i="2"/>
  <c r="K23" i="2"/>
  <c r="K24" i="2"/>
  <c r="J3" i="2"/>
  <c r="J4" i="2"/>
  <c r="J5" i="2"/>
  <c r="J6" i="2"/>
  <c r="J7" i="2"/>
  <c r="J8" i="2"/>
  <c r="J9" i="2"/>
  <c r="J10" i="2"/>
  <c r="J11" i="2"/>
  <c r="J12" i="2"/>
  <c r="J13" i="2"/>
  <c r="J14" i="2"/>
  <c r="J15" i="2"/>
  <c r="J16" i="2"/>
  <c r="J17" i="2"/>
  <c r="J18" i="2"/>
  <c r="J19" i="2"/>
  <c r="J20" i="2"/>
  <c r="J21" i="2"/>
  <c r="J22" i="2"/>
  <c r="J23" i="2"/>
  <c r="J24" i="2"/>
  <c r="D10" i="8"/>
  <c r="D11" i="8"/>
  <c r="D12" i="8"/>
  <c r="D13" i="8"/>
  <c r="D14" i="8"/>
  <c r="D15" i="8"/>
  <c r="D16" i="8"/>
  <c r="D17" i="8"/>
  <c r="D18" i="8"/>
  <c r="D19" i="8"/>
  <c r="D20" i="8"/>
  <c r="D21" i="8"/>
  <c r="D22" i="8"/>
  <c r="D23" i="8"/>
  <c r="D24" i="8"/>
  <c r="D25" i="8"/>
  <c r="D26" i="8"/>
  <c r="D27" i="8"/>
  <c r="D28" i="8"/>
  <c r="D29" i="8"/>
  <c r="D30" i="8"/>
  <c r="I3" i="2"/>
  <c r="I4" i="2"/>
  <c r="I5" i="2"/>
  <c r="I6" i="2"/>
  <c r="I7" i="2"/>
  <c r="I8" i="2"/>
  <c r="I9" i="2"/>
  <c r="I10" i="2"/>
  <c r="I11" i="2"/>
  <c r="I12" i="2"/>
  <c r="I13" i="2"/>
  <c r="I14" i="2"/>
  <c r="I15" i="2"/>
  <c r="I16" i="2"/>
  <c r="I17" i="2"/>
  <c r="I18" i="2"/>
  <c r="I19" i="2"/>
  <c r="I20" i="2"/>
  <c r="I21" i="2"/>
  <c r="I22" i="2"/>
  <c r="I23" i="2"/>
  <c r="I24" i="2"/>
  <c r="I26" i="2"/>
  <c r="A3" i="2"/>
  <c r="A4" i="2"/>
  <c r="A5" i="2"/>
  <c r="A6" i="2"/>
  <c r="A7" i="2"/>
  <c r="A8" i="2"/>
  <c r="A9" i="2"/>
  <c r="A10" i="2"/>
  <c r="A11" i="2"/>
  <c r="A12" i="2"/>
  <c r="A13" i="2"/>
  <c r="A14" i="2"/>
  <c r="A15" i="2"/>
  <c r="A16" i="2"/>
  <c r="A17" i="2"/>
  <c r="A18" i="2"/>
  <c r="A19" i="2"/>
  <c r="A20" i="2"/>
  <c r="A21" i="2"/>
  <c r="A22" i="2"/>
  <c r="A23" i="2"/>
  <c r="A24" i="2"/>
  <c r="F3" i="2"/>
  <c r="F4" i="2"/>
  <c r="F5" i="2"/>
  <c r="F6" i="2"/>
  <c r="F7" i="2"/>
  <c r="F8" i="2"/>
  <c r="F9" i="2"/>
  <c r="F10" i="2"/>
  <c r="F11" i="2"/>
  <c r="F12" i="2"/>
  <c r="F13" i="2"/>
  <c r="F14" i="2"/>
  <c r="F15" i="2"/>
  <c r="F16" i="2"/>
  <c r="F17" i="2"/>
  <c r="F18" i="2"/>
  <c r="F19" i="2"/>
  <c r="F20" i="2"/>
  <c r="F21" i="2"/>
  <c r="F22" i="2"/>
  <c r="F23" i="2"/>
  <c r="F24" i="2"/>
  <c r="I11" i="1"/>
  <c r="H11" i="6"/>
  <c r="I12" i="1"/>
  <c r="H12" i="6"/>
  <c r="I13" i="1"/>
  <c r="H13" i="6"/>
  <c r="I14" i="1"/>
  <c r="H14" i="6"/>
  <c r="I15" i="1"/>
  <c r="H15" i="6"/>
  <c r="I16" i="1"/>
  <c r="H16" i="6" s="1"/>
  <c r="I17" i="1"/>
  <c r="Q10" i="2" s="1"/>
  <c r="H17" i="6"/>
  <c r="I18" i="1"/>
  <c r="H18" i="6" s="1"/>
  <c r="I19" i="1"/>
  <c r="H19" i="6"/>
  <c r="I20" i="1"/>
  <c r="H20" i="6" s="1"/>
  <c r="I21" i="1"/>
  <c r="H21" i="6"/>
  <c r="I22" i="1"/>
  <c r="H22" i="6" s="1"/>
  <c r="I23" i="1"/>
  <c r="Q16" i="2" s="1"/>
  <c r="H23" i="6"/>
  <c r="I24" i="1"/>
  <c r="I25" i="1"/>
  <c r="H25" i="6"/>
  <c r="I26" i="1"/>
  <c r="H26" i="6" s="1"/>
  <c r="I27" i="1"/>
  <c r="H27" i="6" s="1"/>
  <c r="I28" i="1"/>
  <c r="H28" i="6"/>
  <c r="I29" i="1"/>
  <c r="Q22" i="2" s="1"/>
  <c r="H29" i="6"/>
  <c r="I30" i="1"/>
  <c r="H30" i="6"/>
  <c r="I31" i="1"/>
  <c r="H31" i="6"/>
  <c r="H11" i="1"/>
  <c r="P4" i="2"/>
  <c r="H12" i="1"/>
  <c r="P5" i="2"/>
  <c r="H13" i="1"/>
  <c r="P6" i="2"/>
  <c r="H14" i="1"/>
  <c r="P7" i="2"/>
  <c r="H15" i="1"/>
  <c r="P8" i="2"/>
  <c r="H16" i="1"/>
  <c r="P9" i="2"/>
  <c r="H17" i="1"/>
  <c r="P10" i="2"/>
  <c r="H18" i="1"/>
  <c r="P11" i="2"/>
  <c r="H19" i="1"/>
  <c r="P12" i="2"/>
  <c r="H20" i="1"/>
  <c r="P13" i="2"/>
  <c r="H21" i="1"/>
  <c r="P14" i="2"/>
  <c r="H22" i="1"/>
  <c r="H23" i="1"/>
  <c r="P16" i="2" s="1"/>
  <c r="H24" i="1"/>
  <c r="P17" i="2"/>
  <c r="H25" i="1"/>
  <c r="P18" i="2" s="1"/>
  <c r="H26" i="1"/>
  <c r="P19" i="2"/>
  <c r="H27" i="1"/>
  <c r="P20" i="2" s="1"/>
  <c r="H28" i="1"/>
  <c r="P21" i="2"/>
  <c r="H29" i="1"/>
  <c r="P22" i="2" s="1"/>
  <c r="H30" i="1"/>
  <c r="P23" i="2" s="1"/>
  <c r="H31" i="1"/>
  <c r="F11" i="1"/>
  <c r="G4" i="2" s="1"/>
  <c r="F12" i="1"/>
  <c r="C12" i="6" s="1"/>
  <c r="F13" i="1"/>
  <c r="G6" i="2" s="1"/>
  <c r="F14" i="1"/>
  <c r="G7" i="2" s="1"/>
  <c r="F15" i="1"/>
  <c r="G8" i="2" s="1"/>
  <c r="F16" i="1"/>
  <c r="B16" i="7" s="1"/>
  <c r="F17" i="1"/>
  <c r="B17" i="7" s="1"/>
  <c r="F18" i="1"/>
  <c r="G11" i="2" s="1"/>
  <c r="F19" i="1"/>
  <c r="G12" i="2" s="1"/>
  <c r="F20" i="1"/>
  <c r="G13" i="2" s="1"/>
  <c r="F21" i="1"/>
  <c r="C21" i="6" s="1"/>
  <c r="F22" i="1"/>
  <c r="B22" i="7" s="1"/>
  <c r="F23" i="1"/>
  <c r="G16" i="2" s="1"/>
  <c r="F24" i="1"/>
  <c r="G17" i="2" s="1"/>
  <c r="F25" i="1"/>
  <c r="C25" i="6" s="1"/>
  <c r="F26" i="1"/>
  <c r="C26" i="6" s="1"/>
  <c r="F27" i="1"/>
  <c r="G20" i="2" s="1"/>
  <c r="F28" i="1"/>
  <c r="C28" i="6" s="1"/>
  <c r="F29" i="1"/>
  <c r="B29" i="7" s="1"/>
  <c r="F30" i="1"/>
  <c r="G23" i="2" s="1"/>
  <c r="F31" i="1"/>
  <c r="G24" i="2" s="1"/>
  <c r="E3" i="2"/>
  <c r="E4" i="2"/>
  <c r="E5" i="2"/>
  <c r="E6" i="2"/>
  <c r="E7" i="2"/>
  <c r="E8" i="2"/>
  <c r="E9" i="2"/>
  <c r="E10" i="2"/>
  <c r="E11" i="2"/>
  <c r="E12" i="2"/>
  <c r="E13" i="2"/>
  <c r="E14" i="2"/>
  <c r="E15" i="2"/>
  <c r="E16" i="2"/>
  <c r="E17" i="2"/>
  <c r="E18" i="2"/>
  <c r="E19" i="2"/>
  <c r="E20" i="2"/>
  <c r="E21" i="2"/>
  <c r="E22" i="2"/>
  <c r="E23" i="2"/>
  <c r="E24" i="2"/>
  <c r="I10" i="1"/>
  <c r="H10" i="6"/>
  <c r="H10" i="1"/>
  <c r="P3" i="2"/>
  <c r="F10" i="1"/>
  <c r="C10" i="6" s="1"/>
  <c r="D3" i="2"/>
  <c r="D4" i="2"/>
  <c r="D5" i="2"/>
  <c r="D6" i="2"/>
  <c r="D7" i="2"/>
  <c r="D8" i="2"/>
  <c r="D9" i="2"/>
  <c r="D10" i="2"/>
  <c r="D11" i="2"/>
  <c r="D12" i="2"/>
  <c r="D13" i="2"/>
  <c r="D14" i="2"/>
  <c r="D15" i="2"/>
  <c r="D16" i="2"/>
  <c r="D17" i="2"/>
  <c r="D18" i="2"/>
  <c r="D19" i="2"/>
  <c r="D20" i="2"/>
  <c r="D21" i="2"/>
  <c r="D22" i="2"/>
  <c r="D23" i="2"/>
  <c r="D24" i="2"/>
  <c r="B3" i="2"/>
  <c r="B4" i="2"/>
  <c r="B5" i="2"/>
  <c r="B6" i="2"/>
  <c r="B7" i="2"/>
  <c r="B8" i="2"/>
  <c r="B9" i="2"/>
  <c r="B10" i="2"/>
  <c r="B11" i="2"/>
  <c r="B12" i="2"/>
  <c r="B13" i="2"/>
  <c r="B14" i="2"/>
  <c r="B15" i="2"/>
  <c r="B16" i="2"/>
  <c r="B17" i="2"/>
  <c r="B18" i="2"/>
  <c r="B19" i="2"/>
  <c r="B20" i="2"/>
  <c r="B21" i="2"/>
  <c r="B22" i="2"/>
  <c r="B23" i="2"/>
  <c r="B24" i="2"/>
  <c r="C18" i="1"/>
  <c r="C11" i="2" s="1"/>
  <c r="C19" i="1"/>
  <c r="G19" i="1" s="1"/>
  <c r="C20" i="1"/>
  <c r="C13" i="2" s="1"/>
  <c r="C16" i="2"/>
  <c r="G28" i="1"/>
  <c r="O21" i="2" s="1"/>
  <c r="G30" i="1"/>
  <c r="G30" i="6" s="1"/>
  <c r="C10" i="1"/>
  <c r="G10" i="1" s="1"/>
  <c r="G10" i="6" s="1"/>
  <c r="D10" i="6" s="1"/>
  <c r="D33" i="8"/>
  <c r="G33" i="7"/>
  <c r="Q6" i="2"/>
  <c r="Q14" i="2"/>
  <c r="Q12" i="2"/>
  <c r="Q4" i="2"/>
  <c r="Q8" i="2"/>
  <c r="Q23" i="2"/>
  <c r="Q15" i="2"/>
  <c r="Q7" i="2"/>
  <c r="Q3" i="2"/>
  <c r="Q24" i="2"/>
  <c r="Q5" i="2"/>
  <c r="P15" i="2"/>
  <c r="Q21" i="2"/>
  <c r="Q19" i="2"/>
  <c r="Q18" i="2"/>
  <c r="C17" i="6"/>
  <c r="C23" i="2"/>
  <c r="B30" i="7"/>
  <c r="G26" i="1"/>
  <c r="G26" i="6" s="1"/>
  <c r="D26" i="6" s="1"/>
  <c r="B13" i="7"/>
  <c r="K33" i="1"/>
  <c r="A27" i="6"/>
  <c r="A28" i="6"/>
  <c r="A21" i="8"/>
  <c r="A14" i="8"/>
  <c r="A15" i="7"/>
  <c r="A16" i="8"/>
  <c r="A17" i="8"/>
  <c r="A25" i="7"/>
  <c r="A10" i="7"/>
  <c r="A18" i="6"/>
  <c r="A26" i="6"/>
  <c r="A11" i="7"/>
  <c r="A19" i="8"/>
  <c r="A12" i="8"/>
  <c r="A20" i="7"/>
  <c r="A29" i="6"/>
  <c r="A30" i="7"/>
  <c r="A13" i="6"/>
  <c r="A22" i="6"/>
  <c r="A23" i="6"/>
  <c r="A24" i="7"/>
  <c r="A17" i="6"/>
  <c r="A13" i="8"/>
  <c r="A26" i="8"/>
  <c r="A12" i="6"/>
  <c r="A27" i="7"/>
  <c r="A31" i="6"/>
  <c r="A18" i="7"/>
  <c r="A22" i="7"/>
  <c r="A29" i="7"/>
  <c r="A20" i="6"/>
  <c r="A15" i="8"/>
  <c r="A14" i="6"/>
  <c r="A24" i="6"/>
  <c r="A24" i="8"/>
  <c r="A25" i="8"/>
  <c r="A20" i="8"/>
  <c r="A26" i="7"/>
  <c r="A28" i="8"/>
  <c r="A29" i="8"/>
  <c r="A25" i="6"/>
  <c r="A23" i="8"/>
  <c r="A16" i="6"/>
  <c r="A10" i="8"/>
  <c r="A22" i="8"/>
  <c r="A21" i="6"/>
  <c r="A27" i="8"/>
  <c r="A11" i="6"/>
  <c r="A17" i="7"/>
  <c r="A13" i="7"/>
  <c r="A28" i="7"/>
  <c r="A12" i="7"/>
  <c r="A31" i="7"/>
  <c r="A23" i="7"/>
  <c r="A15" i="6"/>
  <c r="A16" i="7"/>
  <c r="A30" i="8"/>
  <c r="A18" i="8"/>
  <c r="A14" i="7"/>
  <c r="A10" i="6"/>
  <c r="A19" i="6"/>
  <c r="A30" i="6"/>
  <c r="A21" i="7"/>
  <c r="A11" i="8"/>
  <c r="A19" i="7"/>
  <c r="C7" i="2" l="1"/>
  <c r="C23" i="6"/>
  <c r="C30" i="6"/>
  <c r="Q9" i="2"/>
  <c r="Q13" i="2"/>
  <c r="Q11" i="2"/>
  <c r="D30" i="6"/>
  <c r="H25" i="2"/>
  <c r="M25" i="2" s="1"/>
  <c r="B32" i="8" s="1"/>
  <c r="G9" i="2"/>
  <c r="C13" i="6"/>
  <c r="Q20" i="2"/>
  <c r="G23" i="6"/>
  <c r="D23" i="6" s="1"/>
  <c r="H16" i="2" s="1"/>
  <c r="C19" i="6"/>
  <c r="C24" i="6"/>
  <c r="C5" i="2"/>
  <c r="B19" i="7"/>
  <c r="G28" i="6"/>
  <c r="C14" i="2"/>
  <c r="B25" i="7"/>
  <c r="C12" i="2"/>
  <c r="G15" i="2"/>
  <c r="B27" i="7"/>
  <c r="C27" i="6"/>
  <c r="O19" i="2"/>
  <c r="B26" i="7"/>
  <c r="G19" i="2"/>
  <c r="C17" i="2"/>
  <c r="G20" i="1"/>
  <c r="G20" i="6" s="1"/>
  <c r="D20" i="6" s="1"/>
  <c r="B10" i="7"/>
  <c r="G3" i="2"/>
  <c r="B15" i="7"/>
  <c r="G10" i="2"/>
  <c r="B11" i="7"/>
  <c r="C4" i="2"/>
  <c r="C3" i="2"/>
  <c r="J26" i="2"/>
  <c r="C22" i="2"/>
  <c r="E26" i="2"/>
  <c r="I33" i="1"/>
  <c r="H33" i="6" s="1"/>
  <c r="G21" i="6"/>
  <c r="D21" i="6" s="1"/>
  <c r="C21" i="7" s="1"/>
  <c r="O14" i="2"/>
  <c r="G19" i="6"/>
  <c r="O12" i="2"/>
  <c r="G14" i="2"/>
  <c r="G21" i="2"/>
  <c r="G27" i="1"/>
  <c r="G22" i="1"/>
  <c r="B21" i="7"/>
  <c r="B28" i="7"/>
  <c r="B20" i="7"/>
  <c r="B24" i="7"/>
  <c r="C18" i="2"/>
  <c r="C16" i="6"/>
  <c r="C9" i="2"/>
  <c r="C10" i="2"/>
  <c r="K26" i="2"/>
  <c r="H19" i="2"/>
  <c r="H24" i="6"/>
  <c r="D24" i="6" s="1"/>
  <c r="Q17" i="2"/>
  <c r="O18" i="2"/>
  <c r="G25" i="6"/>
  <c r="D25" i="6" s="1"/>
  <c r="G18" i="2"/>
  <c r="O17" i="2"/>
  <c r="B23" i="7"/>
  <c r="C22" i="6"/>
  <c r="C20" i="6"/>
  <c r="C6" i="2"/>
  <c r="C31" i="6"/>
  <c r="G17" i="6"/>
  <c r="D17" i="6" s="1"/>
  <c r="O10" i="2"/>
  <c r="O9" i="2"/>
  <c r="G16" i="6"/>
  <c r="D16" i="6" s="1"/>
  <c r="C15" i="6"/>
  <c r="O3" i="2"/>
  <c r="B12" i="7"/>
  <c r="B18" i="7"/>
  <c r="C8" i="2"/>
  <c r="F33" i="1"/>
  <c r="C33" i="6" s="1"/>
  <c r="G5" i="2"/>
  <c r="B14" i="7"/>
  <c r="C18" i="6"/>
  <c r="G22" i="2"/>
  <c r="C24" i="2"/>
  <c r="B26" i="2"/>
  <c r="C29" i="6"/>
  <c r="O23" i="2"/>
  <c r="B31" i="7"/>
  <c r="H33" i="1"/>
  <c r="P26" i="2" s="1"/>
  <c r="D26" i="2"/>
  <c r="G31" i="6"/>
  <c r="D31" i="6" s="1"/>
  <c r="O24" i="2"/>
  <c r="P24" i="2"/>
  <c r="C26" i="7"/>
  <c r="H23" i="2"/>
  <c r="C30" i="7"/>
  <c r="G29" i="6"/>
  <c r="D29" i="6" s="1"/>
  <c r="G18" i="1"/>
  <c r="O8" i="2"/>
  <c r="G15" i="6"/>
  <c r="D15" i="6" s="1"/>
  <c r="G14" i="6"/>
  <c r="O7" i="2"/>
  <c r="C14" i="6"/>
  <c r="O6" i="2"/>
  <c r="G13" i="6"/>
  <c r="D13" i="6" s="1"/>
  <c r="O5" i="2"/>
  <c r="G12" i="6"/>
  <c r="O4" i="2"/>
  <c r="G11" i="6"/>
  <c r="D11" i="6" s="1"/>
  <c r="C11" i="6"/>
  <c r="C10" i="7"/>
  <c r="H3" i="2"/>
  <c r="C23" i="7" l="1"/>
  <c r="C19" i="7"/>
  <c r="D19" i="6"/>
  <c r="H21" i="2"/>
  <c r="M21" i="2" s="1"/>
  <c r="B28" i="8" s="1"/>
  <c r="D28" i="6"/>
  <c r="C28" i="7" s="1"/>
  <c r="N25" i="2"/>
  <c r="C32" i="8" s="1"/>
  <c r="C25" i="7"/>
  <c r="C31" i="7"/>
  <c r="C20" i="7"/>
  <c r="Q26" i="2"/>
  <c r="G33" i="1"/>
  <c r="O26" i="2" s="1"/>
  <c r="H13" i="2"/>
  <c r="N13" i="2" s="1"/>
  <c r="C20" i="8" s="1"/>
  <c r="O13" i="2"/>
  <c r="H10" i="2"/>
  <c r="N10" i="2" s="1"/>
  <c r="C17" i="8" s="1"/>
  <c r="N21" i="2"/>
  <c r="C28" i="8" s="1"/>
  <c r="O15" i="2"/>
  <c r="G22" i="6"/>
  <c r="D22" i="6" s="1"/>
  <c r="O20" i="2"/>
  <c r="G27" i="6"/>
  <c r="D27" i="6" s="1"/>
  <c r="H17" i="2"/>
  <c r="N17" i="2" s="1"/>
  <c r="C24" i="8" s="1"/>
  <c r="C24" i="7"/>
  <c r="B33" i="7"/>
  <c r="G26" i="2"/>
  <c r="C16" i="7"/>
  <c r="H9" i="2"/>
  <c r="M9" i="2" s="1"/>
  <c r="B16" i="8" s="1"/>
  <c r="C26" i="2"/>
  <c r="H14" i="2"/>
  <c r="M14" i="2" s="1"/>
  <c r="B21" i="8" s="1"/>
  <c r="H12" i="2"/>
  <c r="M12" i="2" s="1"/>
  <c r="B19" i="8" s="1"/>
  <c r="M16" i="2"/>
  <c r="B23" i="8" s="1"/>
  <c r="N16" i="2"/>
  <c r="C23" i="8" s="1"/>
  <c r="M19" i="2"/>
  <c r="B26" i="8" s="1"/>
  <c r="N19" i="2"/>
  <c r="C26" i="8" s="1"/>
  <c r="M23" i="2"/>
  <c r="B30" i="8" s="1"/>
  <c r="N23" i="2"/>
  <c r="C30" i="8" s="1"/>
  <c r="H22" i="2"/>
  <c r="C29" i="7"/>
  <c r="G18" i="6"/>
  <c r="D18" i="6" s="1"/>
  <c r="O11" i="2"/>
  <c r="C15" i="7"/>
  <c r="H8" i="2"/>
  <c r="H7" i="2"/>
  <c r="C14" i="7"/>
  <c r="C13" i="7"/>
  <c r="H6" i="2"/>
  <c r="H5" i="2"/>
  <c r="C12" i="7"/>
  <c r="H4" i="2"/>
  <c r="C11" i="7"/>
  <c r="N3" i="2"/>
  <c r="M3" i="2"/>
  <c r="H18" i="2" l="1"/>
  <c r="H24" i="2"/>
  <c r="C27" i="7"/>
  <c r="H20" i="2"/>
  <c r="G33" i="6"/>
  <c r="M13" i="2"/>
  <c r="B20" i="8" s="1"/>
  <c r="M10" i="2"/>
  <c r="B17" i="8" s="1"/>
  <c r="C17" i="7"/>
  <c r="N12" i="2"/>
  <c r="C19" i="8" s="1"/>
  <c r="N14" i="2"/>
  <c r="C21" i="8" s="1"/>
  <c r="H15" i="2"/>
  <c r="C22" i="7"/>
  <c r="M17" i="2"/>
  <c r="B24" i="8" s="1"/>
  <c r="N9" i="2"/>
  <c r="C16" i="8" s="1"/>
  <c r="M22" i="2"/>
  <c r="B29" i="8" s="1"/>
  <c r="N22" i="2"/>
  <c r="H11" i="2"/>
  <c r="C18" i="7"/>
  <c r="M8" i="2"/>
  <c r="B15" i="8" s="1"/>
  <c r="N8" i="2"/>
  <c r="C15" i="8" s="1"/>
  <c r="M7" i="2"/>
  <c r="B14" i="8" s="1"/>
  <c r="N7" i="2"/>
  <c r="C14" i="8" s="1"/>
  <c r="M6" i="2"/>
  <c r="B13" i="8" s="1"/>
  <c r="N6" i="2"/>
  <c r="C13" i="8" s="1"/>
  <c r="M5" i="2"/>
  <c r="B12" i="8" s="1"/>
  <c r="N5" i="2"/>
  <c r="C12" i="8" s="1"/>
  <c r="M4" i="2"/>
  <c r="B11" i="8" s="1"/>
  <c r="N4" i="2"/>
  <c r="C11" i="8" s="1"/>
  <c r="C10" i="8"/>
  <c r="B10" i="8"/>
  <c r="M18" i="2" l="1"/>
  <c r="B25" i="8" s="1"/>
  <c r="N18" i="2"/>
  <c r="C25" i="8" s="1"/>
  <c r="M24" i="2"/>
  <c r="B31" i="8" s="1"/>
  <c r="N24" i="2"/>
  <c r="C31" i="8" s="1"/>
  <c r="N20" i="2"/>
  <c r="C27" i="8" s="1"/>
  <c r="M20" i="2"/>
  <c r="B27" i="8" s="1"/>
  <c r="N15" i="2"/>
  <c r="C22" i="8" s="1"/>
  <c r="M15" i="2"/>
  <c r="B22" i="8" s="1"/>
  <c r="C29" i="8"/>
  <c r="M11" i="2"/>
  <c r="N11" i="2"/>
  <c r="C18" i="8" s="1"/>
  <c r="C33" i="8" l="1"/>
  <c r="N26" i="2"/>
  <c r="B18" i="8"/>
  <c r="B33" i="8" s="1"/>
  <c r="M26" i="2"/>
</calcChain>
</file>

<file path=xl/sharedStrings.xml><?xml version="1.0" encoding="utf-8"?>
<sst xmlns="http://schemas.openxmlformats.org/spreadsheetml/2006/main" count="99" uniqueCount="68">
  <si>
    <t>TOTAL</t>
  </si>
  <si>
    <t>TERM</t>
  </si>
  <si>
    <t>CREDITS</t>
  </si>
  <si>
    <t>Sep 2015- Aug 2016: Semester 1 (201610)</t>
  </si>
  <si>
    <t>Sep 2015- Aug 2016: Semester 2 (201620)</t>
  </si>
  <si>
    <t>Sep 2015- Aug 2016: Semester 3 (201630)</t>
  </si>
  <si>
    <t>Sep 2016- Aug 2017: Semester 1 (201710)</t>
  </si>
  <si>
    <t>Sep 2016- Aug 2017: Semester 2 (201720)</t>
  </si>
  <si>
    <t>Sep 2016- Aug 2017: Semester 3 (201730)</t>
  </si>
  <si>
    <t>UNPAID COLLEGE FEES</t>
  </si>
  <si>
    <t>Sep 2017- Aug 2018: Semester 1 (201810)</t>
  </si>
  <si>
    <t>Sep 2017- Aug 2018: Semester 2 (201820)</t>
  </si>
  <si>
    <t>Sep 2017- Aug 2018: Semester 3 (201830)</t>
  </si>
  <si>
    <t>Sep 2018- Aug 2019: Semester 1 (201910)</t>
  </si>
  <si>
    <t>Sep 2018- Aug 2019: Semester 2 (201920)</t>
  </si>
  <si>
    <t>Sep 2019- Aug 2020: Semester 1 (202010)</t>
  </si>
  <si>
    <t>Sep 2019- Aug 2020: Semester 2 (202020)</t>
  </si>
  <si>
    <t>COMMENTS AND TOTAL OUTSTANDING</t>
  </si>
  <si>
    <t>Sep 2018- Aug 2019: Semester 3 (201930)</t>
  </si>
  <si>
    <t>Sep 2020- Aug 2021: Semester 1 (202110)</t>
  </si>
  <si>
    <t>Sep 2020- Aug 2021: Semester 2 (202120)</t>
  </si>
  <si>
    <t xml:space="preserve">UNPAID BY GATE </t>
  </si>
  <si>
    <t>UNPAID BY  STUDENT</t>
  </si>
  <si>
    <t>COMPASS CREDITS</t>
  </si>
  <si>
    <t>MEANS RATE</t>
  </si>
  <si>
    <t>REPEATED CREDITS</t>
  </si>
  <si>
    <t>Assignment Setup</t>
  </si>
  <si>
    <t>&lt; TO DO LIST</t>
  </si>
  <si>
    <t>The data in the table below supplies the available choices for the Assigned To field. You can modify the entries or add new entries to customize this workbook to fit your needs.</t>
  </si>
  <si>
    <t>Applied</t>
  </si>
  <si>
    <t>Clearance Verified</t>
  </si>
  <si>
    <t>Correction Required</t>
  </si>
  <si>
    <t>Cancelled</t>
  </si>
  <si>
    <t>Signed</t>
  </si>
  <si>
    <t>Clearance Rejected</t>
  </si>
  <si>
    <t>Gate Processing</t>
  </si>
  <si>
    <t>Finance Approved</t>
  </si>
  <si>
    <t>Payment Required</t>
  </si>
  <si>
    <t>Clearance Approved</t>
  </si>
  <si>
    <t>Student Paid</t>
  </si>
  <si>
    <t>Application Required</t>
  </si>
  <si>
    <t>COMPASS CREDITS TUITION</t>
  </si>
  <si>
    <t>REPEATED CREDITS TUITION</t>
  </si>
  <si>
    <t>TOTAL TO BE PAID BY  STUDENT</t>
  </si>
  <si>
    <t xml:space="preserve">TOTAL TO BE PAID BY GATE </t>
  </si>
  <si>
    <t>TUITION PAID BY STUDENT</t>
  </si>
  <si>
    <t>UNDERGRAD CREDITS</t>
  </si>
  <si>
    <t>UNDERGRAD TUITION</t>
  </si>
  <si>
    <t>TOTAL TUITION CHARGED</t>
  </si>
  <si>
    <t xml:space="preserve">GATE CONTRIBUTION </t>
  </si>
  <si>
    <t>TUITION PAID BY GATE</t>
  </si>
  <si>
    <t>BANNER</t>
  </si>
  <si>
    <t>GATE</t>
  </si>
  <si>
    <t>GATE STATUS</t>
  </si>
  <si>
    <t>STATUS</t>
  </si>
  <si>
    <t>Means Confirmed</t>
  </si>
  <si>
    <t>COMMENTS</t>
  </si>
  <si>
    <t>Sep 2021- Aug 2022: Semester 1 (202210)</t>
  </si>
  <si>
    <t>Funding Exhausted</t>
  </si>
  <si>
    <t>Sep 2021- Aug 2022: Semester 2 (202220)</t>
  </si>
  <si>
    <t>Sep 2011-Aug 2012: Semester 1 (201210)</t>
  </si>
  <si>
    <t>Sep 2011-Aug 2012: Semester 2 (201220)</t>
  </si>
  <si>
    <t>Sep 2012-Aug 2013: Semester 1 (201310)</t>
  </si>
  <si>
    <t>Sep 2012-Aug 2013: Semester 2 (201320)</t>
  </si>
  <si>
    <t>Sep 2013- Aug 2014: Semester 1 (201410)</t>
  </si>
  <si>
    <t>Confirmed By: CMBirwar 2nd June 2022</t>
  </si>
  <si>
    <t>low GPA / student not GATE funded</t>
  </si>
  <si>
    <t>00047930 Mitchell, Shantel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</si>
</sst>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TT$&quot;#,##0.00"/>
    <numFmt numFmtId="165" formatCode="_([$$-409]* #,##0.00_);_([$$-409]* \(#,##0.00\);_([$$-409]* &quot;-&quot;??_);_(@_)"/>
    <numFmt numFmtId="166" formatCode="&quot;$&quot;#,##0.00"/>
  </numFmts>
  <fonts count="31">
    <font>
      <sz val="11"/>
      <color theme="1"/>
      <name val="Calibri"/>
      <family val="2"/>
      <scheme val="minor"/>
    </font>
    <font>
      <b/>
      <sz val="11"/>
      <color theme="1"/>
      <name val="Calibri"/>
      <family val="2"/>
      <scheme val="minor"/>
    </font>
    <font>
      <b/>
      <sz val="14"/>
      <color rgb="FFFF0000"/>
      <name val="Calibri"/>
      <family val="2"/>
    </font>
    <font>
      <sz val="14"/>
      <color theme="1"/>
      <name val="Calibri"/>
      <family val="2"/>
    </font>
    <font>
      <sz val="14"/>
      <color theme="1"/>
      <name val="Calibri"/>
      <family val="2"/>
      <scheme val="minor"/>
    </font>
    <font>
      <b/>
      <sz val="28"/>
      <color theme="1"/>
      <name val="Calibri"/>
      <family val="2"/>
      <scheme val="minor"/>
    </font>
    <font>
      <b/>
      <sz val="12"/>
      <color theme="1"/>
      <name val="Calibri"/>
      <family val="2"/>
    </font>
    <font>
      <sz val="11"/>
      <color rgb="FFFFFF00"/>
      <name val="Calibri"/>
      <family val="2"/>
      <scheme val="minor"/>
    </font>
    <font>
      <b/>
      <sz val="12"/>
      <color rgb="FF002060"/>
      <name val="Calibri"/>
      <family val="2"/>
      <scheme val="minor"/>
    </font>
    <font>
      <b/>
      <sz val="14"/>
      <color rgb="FF0070C0"/>
      <name val="Calibri"/>
      <family val="2"/>
      <scheme val="minor"/>
    </font>
    <font>
      <b/>
      <sz val="11"/>
      <color rgb="FF0070C0"/>
      <name val="Calibri"/>
      <family val="2"/>
      <scheme val="minor"/>
    </font>
    <font>
      <b/>
      <i/>
      <sz val="11"/>
      <color rgb="FF002060"/>
      <name val="Calibri"/>
      <family val="2"/>
      <scheme val="minor"/>
    </font>
    <font>
      <b/>
      <sz val="12"/>
      <color rgb="FF000000"/>
      <name val="Calibri"/>
      <family val="2"/>
      <scheme val="minor"/>
    </font>
    <font>
      <b/>
      <sz val="12"/>
      <color rgb="FFFFFF00"/>
      <name val="Calibri"/>
      <family val="2"/>
      <scheme val="minor"/>
    </font>
    <font>
      <b/>
      <sz val="12"/>
      <color rgb="FFFFFF00"/>
      <name val="Calibri"/>
      <family val="2"/>
    </font>
    <font>
      <b/>
      <sz val="16"/>
      <color rgb="FFFFFF00"/>
      <name val="Calibri"/>
      <family val="2"/>
      <scheme val="minor"/>
    </font>
    <font>
      <sz val="11"/>
      <color rgb="FF002060"/>
      <name val="Calibri"/>
      <family val="2"/>
      <scheme val="minor"/>
    </font>
    <font>
      <b/>
      <sz val="14"/>
      <color theme="1"/>
      <name val="Calibri"/>
      <family val="2"/>
      <scheme val="minor"/>
    </font>
    <font>
      <b/>
      <sz val="14"/>
      <color rgb="FFC00000"/>
      <name val="Calibri"/>
      <family val="2"/>
      <scheme val="minor"/>
    </font>
    <font>
      <sz val="11"/>
      <color theme="1"/>
      <name val="Calibri"/>
      <family val="2"/>
      <scheme val="minor"/>
    </font>
    <font>
      <sz val="18"/>
      <color theme="3"/>
      <name val="Calibri Light"/>
      <family val="2"/>
      <scheme val="major"/>
    </font>
    <font>
      <u/>
      <sz val="11"/>
      <color theme="6" tint="-0.24994659260841701"/>
      <name val="Calibri"/>
      <family val="2"/>
      <scheme val="minor"/>
    </font>
    <font>
      <sz val="36"/>
      <color rgb="FF00421F"/>
      <name val="Rockwell"/>
      <family val="2"/>
    </font>
    <font>
      <b/>
      <sz val="12"/>
      <color rgb="FF00421F"/>
      <name val="Lucida Sans"/>
      <family val="2"/>
      <charset val="238"/>
    </font>
    <font>
      <sz val="11"/>
      <name val="Lucida Sans"/>
      <family val="2"/>
    </font>
    <font>
      <sz val="11"/>
      <color rgb="FF262626"/>
      <name val="Lucida Sans"/>
      <family val="2"/>
    </font>
    <font>
      <sz val="11"/>
      <color rgb="FFFFFFFF"/>
      <name val="Lucida Sans"/>
      <family val="2"/>
    </font>
    <font>
      <b/>
      <sz val="11"/>
      <color rgb="FFC00000"/>
      <name val="Lucida Sans"/>
      <family val="2"/>
    </font>
    <font>
      <b/>
      <sz val="11"/>
      <color rgb="FF0070C0"/>
      <name val="Lucida Sans"/>
      <family val="2"/>
    </font>
    <font>
      <b/>
      <sz val="14"/>
      <color rgb="FFFFFFFF"/>
      <name val="Calibri"/>
      <family val="2"/>
    </font>
    <font>
      <b/>
      <sz val="16"/>
      <color theme="1"/>
      <name val="Calibri"/>
      <family val="2"/>
      <scheme val="minor"/>
    </font>
  </fonts>
  <fills count="12">
    <fill>
      <patternFill patternType="none"/>
    </fill>
    <fill>
      <patternFill patternType="gray125"/>
    </fill>
    <fill>
      <patternFill patternType="solid">
        <fgColor rgb="FF4472C4"/>
        <bgColor indexed="64"/>
      </patternFill>
    </fill>
    <fill>
      <patternFill patternType="solid">
        <fgColor rgb="FFFFFF00"/>
        <bgColor indexed="64"/>
      </patternFill>
    </fill>
    <fill>
      <patternFill patternType="solid">
        <fgColor theme="0"/>
        <bgColor indexed="64"/>
      </patternFill>
    </fill>
    <fill>
      <patternFill patternType="solid">
        <fgColor rgb="FF0070C0"/>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theme="8" tint="0.79998168889431442"/>
        <bgColor indexed="65"/>
      </patternFill>
    </fill>
    <fill>
      <patternFill patternType="solid">
        <fgColor rgb="FF7AC143"/>
        <bgColor rgb="FF000000"/>
      </patternFill>
    </fill>
    <fill>
      <patternFill patternType="solid">
        <fgColor rgb="FFE4E5E6"/>
        <bgColor rgb="FFFAFAFA"/>
      </patternFill>
    </fill>
    <fill>
      <patternFill patternType="solid">
        <fgColor rgb="FFF2F2F2"/>
        <bgColor rgb="FFF4F4F4"/>
      </patternFill>
    </fill>
  </fills>
  <borders count="10">
    <border>
      <left/>
      <right/>
      <top/>
      <bottom/>
      <diagonal/>
    </border>
    <border>
      <left style="medium">
        <color rgb="FF4472C4"/>
      </left>
      <right/>
      <top style="medium">
        <color rgb="FF4472C4"/>
      </top>
      <bottom style="medium">
        <color rgb="FF4472C4"/>
      </bottom>
      <diagonal/>
    </border>
    <border>
      <left/>
      <right/>
      <top style="medium">
        <color rgb="FF4472C4"/>
      </top>
      <bottom style="medium">
        <color rgb="FF4472C4"/>
      </bottom>
      <diagonal/>
    </border>
    <border>
      <left/>
      <right style="medium">
        <color rgb="FF4472C4"/>
      </right>
      <top style="medium">
        <color rgb="FF4472C4"/>
      </top>
      <bottom style="medium">
        <color rgb="FF4472C4"/>
      </bottom>
      <diagonal/>
    </border>
    <border>
      <left/>
      <right style="medium">
        <color rgb="FF8EAADB"/>
      </right>
      <top/>
      <bottom style="medium">
        <color rgb="FF8EAADB"/>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theme="6" tint="-0.24994659260841701"/>
      </bottom>
      <diagonal/>
    </border>
    <border>
      <left/>
      <right/>
      <top/>
      <bottom style="medium">
        <color rgb="FF8EAADB"/>
      </bottom>
      <diagonal/>
    </border>
    <border>
      <left/>
      <right/>
      <top/>
      <bottom style="medium">
        <color rgb="FF4472C4"/>
      </bottom>
      <diagonal/>
    </border>
  </borders>
  <cellStyleXfs count="5">
    <xf numFmtId="0" fontId="0" fillId="0" borderId="0"/>
    <xf numFmtId="0" fontId="20" fillId="0" borderId="0" applyNumberFormat="0" applyFill="0" applyBorder="0" applyAlignment="0" applyProtection="0"/>
    <xf numFmtId="0" fontId="19" fillId="8" borderId="0" applyNumberFormat="0" applyBorder="0" applyAlignment="0" applyProtection="0"/>
    <xf numFmtId="0" fontId="21" fillId="0" borderId="7" applyNumberFormat="0" applyFill="0" applyAlignment="0" applyProtection="0">
      <alignment vertical="center"/>
    </xf>
    <xf numFmtId="9" fontId="19" fillId="0" borderId="0" applyFont="0" applyFill="0" applyBorder="0" applyAlignment="0" applyProtection="0"/>
  </cellStyleXfs>
  <cellXfs count="68">
    <xf numFmtId="0" fontId="0" fillId="0" borderId="0" xfId="0"/>
    <xf numFmtId="0" fontId="1" fillId="0" borderId="0" xfId="0" applyFont="1"/>
    <xf numFmtId="0" fontId="2" fillId="0" borderId="4" xfId="0" applyFont="1" applyBorder="1" applyAlignment="1">
      <alignment vertical="center" wrapText="1"/>
    </xf>
    <xf numFmtId="0" fontId="3" fillId="0" borderId="4" xfId="0" applyFont="1" applyBorder="1" applyAlignment="1">
      <alignment vertical="center" wrapText="1"/>
    </xf>
    <xf numFmtId="0" fontId="4" fillId="0" borderId="0" xfId="0" applyFont="1"/>
    <xf numFmtId="0" fontId="7" fillId="0" borderId="0" xfId="0" applyFont="1"/>
    <xf numFmtId="0" fontId="9" fillId="3" borderId="0" xfId="0" applyFont="1" applyFill="1" applyAlignment="1">
      <alignment horizontal="center"/>
    </xf>
    <xf numFmtId="0" fontId="11" fillId="0" borderId="0" xfId="0" applyFont="1" applyAlignment="1">
      <alignment horizontal="right"/>
    </xf>
    <xf numFmtId="0" fontId="10" fillId="4" borderId="0" xfId="0" applyFont="1" applyFill="1"/>
    <xf numFmtId="164" fontId="2" fillId="0" borderId="4" xfId="0" applyNumberFormat="1" applyFont="1" applyBorder="1" applyAlignment="1">
      <alignment vertical="center" wrapText="1"/>
    </xf>
    <xf numFmtId="0" fontId="6" fillId="0" borderId="4" xfId="0" applyFont="1" applyBorder="1" applyAlignment="1">
      <alignment horizontal="center" vertical="center" wrapText="1"/>
    </xf>
    <xf numFmtId="0" fontId="12" fillId="0" borderId="4" xfId="0" applyFont="1" applyBorder="1" applyAlignment="1">
      <alignment vertical="center" wrapText="1"/>
    </xf>
    <xf numFmtId="0" fontId="14" fillId="2" borderId="3" xfId="0" applyFont="1" applyFill="1" applyBorder="1" applyAlignment="1">
      <alignment vertical="center" wrapText="1"/>
    </xf>
    <xf numFmtId="0" fontId="7" fillId="5" borderId="0" xfId="0" applyFont="1" applyFill="1"/>
    <xf numFmtId="164" fontId="6" fillId="0" borderId="4" xfId="0" applyNumberFormat="1" applyFont="1" applyBorder="1" applyAlignment="1">
      <alignment horizontal="center" vertical="center" wrapText="1"/>
    </xf>
    <xf numFmtId="0" fontId="15" fillId="5" borderId="5" xfId="0" applyFont="1" applyFill="1" applyBorder="1"/>
    <xf numFmtId="0" fontId="8" fillId="6" borderId="6" xfId="0" applyFont="1" applyFill="1" applyBorder="1" applyAlignment="1">
      <alignment horizontal="center"/>
    </xf>
    <xf numFmtId="0" fontId="8" fillId="6" borderId="6" xfId="0" applyFont="1" applyFill="1" applyBorder="1" applyAlignment="1">
      <alignment horizontal="center" wrapText="1"/>
    </xf>
    <xf numFmtId="0" fontId="16" fillId="6" borderId="0" xfId="0" applyFont="1" applyFill="1" applyAlignment="1">
      <alignment horizontal="center"/>
    </xf>
    <xf numFmtId="0" fontId="17" fillId="7" borderId="6" xfId="0" applyFont="1" applyFill="1" applyBorder="1" applyAlignment="1">
      <alignment horizontal="left"/>
    </xf>
    <xf numFmtId="0" fontId="17" fillId="7" borderId="6" xfId="0" applyFont="1" applyFill="1" applyBorder="1"/>
    <xf numFmtId="0" fontId="18" fillId="6" borderId="6" xfId="0" applyFont="1" applyFill="1" applyBorder="1" applyAlignment="1">
      <alignment horizontal="right"/>
    </xf>
    <xf numFmtId="0" fontId="18" fillId="6" borderId="6" xfId="0" applyFont="1" applyFill="1" applyBorder="1"/>
    <xf numFmtId="0" fontId="17" fillId="0" borderId="6" xfId="0" applyFont="1" applyFill="1" applyBorder="1" applyAlignment="1">
      <alignment horizontal="left"/>
    </xf>
    <xf numFmtId="0" fontId="17" fillId="0" borderId="6" xfId="0" applyFont="1" applyFill="1" applyBorder="1"/>
    <xf numFmtId="0" fontId="18" fillId="7" borderId="6" xfId="0" applyFont="1" applyFill="1" applyBorder="1"/>
    <xf numFmtId="0" fontId="14" fillId="2" borderId="1"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17" fillId="7" borderId="6" xfId="0" applyFont="1" applyFill="1" applyBorder="1" applyAlignment="1">
      <alignment horizontal="right"/>
    </xf>
    <xf numFmtId="0" fontId="13" fillId="5" borderId="0" xfId="0" applyFont="1" applyFill="1"/>
    <xf numFmtId="0" fontId="25" fillId="0" borderId="0" xfId="0" applyFont="1" applyFill="1" applyBorder="1" applyAlignment="1">
      <alignment vertical="center" wrapText="1"/>
    </xf>
    <xf numFmtId="0" fontId="29" fillId="0" borderId="0" xfId="0" applyFont="1" applyFill="1" applyBorder="1" applyAlignment="1">
      <alignment vertical="center" wrapText="1"/>
    </xf>
    <xf numFmtId="9" fontId="17" fillId="7" borderId="6" xfId="4" applyFont="1" applyFill="1" applyBorder="1"/>
    <xf numFmtId="9" fontId="17" fillId="0" borderId="6" xfId="4" applyFont="1" applyFill="1" applyBorder="1"/>
    <xf numFmtId="0" fontId="15" fillId="5" borderId="0" xfId="0" applyFont="1" applyFill="1" applyBorder="1"/>
    <xf numFmtId="0" fontId="18" fillId="0" borderId="6" xfId="0" applyFont="1" applyFill="1" applyBorder="1"/>
    <xf numFmtId="0" fontId="30" fillId="0" borderId="0" xfId="0" applyFont="1" applyAlignment="1">
      <alignment horizontal="center"/>
    </xf>
    <xf numFmtId="0" fontId="25" fillId="10" borderId="0" xfId="2" applyFont="1" applyFill="1" applyBorder="1" applyAlignment="1">
      <alignment horizontal="left" vertical="center" indent="1"/>
    </xf>
    <xf numFmtId="0" fontId="25" fillId="11" borderId="0" xfId="2" applyFont="1" applyFill="1" applyBorder="1" applyAlignment="1">
      <alignment horizontal="left" vertical="center" indent="1"/>
    </xf>
    <xf numFmtId="0" fontId="27" fillId="10" borderId="0" xfId="2" applyFont="1" applyFill="1" applyBorder="1" applyAlignment="1">
      <alignment horizontal="left" vertical="center" indent="1"/>
    </xf>
    <xf numFmtId="0" fontId="28" fillId="10" borderId="0" xfId="2" applyFont="1" applyFill="1" applyBorder="1" applyAlignment="1">
      <alignment horizontal="left" vertical="center" indent="1"/>
    </xf>
    <xf numFmtId="0" fontId="5" fillId="0" borderId="0" xfId="0" applyFont="1" applyAlignment="1">
      <alignment horizontal="center"/>
    </xf>
    <xf numFmtId="0" fontId="12" fillId="0" borderId="4" xfId="0" applyNumberFormat="1" applyFont="1" applyBorder="1" applyAlignment="1">
      <alignment vertical="center" wrapText="1"/>
    </xf>
    <xf numFmtId="0" fontId="14" fillId="2" borderId="2" xfId="0" applyFont="1" applyFill="1" applyBorder="1" applyAlignment="1">
      <alignment vertical="center" wrapText="1"/>
    </xf>
    <xf numFmtId="9" fontId="12" fillId="0" borderId="4" xfId="4" applyFont="1" applyBorder="1" applyAlignment="1">
      <alignment vertical="center" wrapText="1"/>
    </xf>
    <xf numFmtId="165" fontId="12" fillId="0" borderId="4" xfId="0" applyNumberFormat="1" applyFont="1" applyBorder="1" applyAlignment="1">
      <alignment vertical="center" wrapText="1"/>
    </xf>
    <xf numFmtId="165" fontId="2" fillId="0" borderId="4" xfId="0" applyNumberFormat="1" applyFont="1" applyBorder="1" applyAlignment="1">
      <alignment vertical="center" wrapText="1"/>
    </xf>
    <xf numFmtId="0" fontId="6" fillId="0" borderId="4" xfId="0" applyNumberFormat="1" applyFont="1" applyBorder="1" applyAlignment="1">
      <alignment horizontal="center" vertical="center" wrapText="1"/>
    </xf>
    <xf numFmtId="0" fontId="2" fillId="0" borderId="4" xfId="0" applyNumberFormat="1" applyFont="1" applyBorder="1" applyAlignment="1">
      <alignment vertical="center" wrapText="1"/>
    </xf>
    <xf numFmtId="0" fontId="5" fillId="0" borderId="0" xfId="0" applyFont="1" applyAlignment="1">
      <alignment horizontal="center"/>
    </xf>
    <xf numFmtId="166" fontId="12" fillId="0" borderId="4" xfId="4" applyNumberFormat="1" applyFont="1" applyBorder="1" applyAlignment="1">
      <alignment vertical="center" wrapText="1"/>
    </xf>
    <xf numFmtId="0" fontId="5" fillId="0" borderId="0" xfId="0" applyFont="1" applyAlignment="1">
      <alignment horizontal="center"/>
    </xf>
    <xf numFmtId="0" fontId="6" fillId="0" borderId="8" xfId="0" applyFont="1" applyBorder="1" applyAlignment="1">
      <alignment horizontal="center" vertical="center" wrapText="1"/>
    </xf>
    <xf numFmtId="0" fontId="3" fillId="0" borderId="8" xfId="0" applyFont="1" applyBorder="1" applyAlignment="1">
      <alignment vertical="center" wrapText="1"/>
    </xf>
    <xf numFmtId="0" fontId="14" fillId="2" borderId="6" xfId="0" applyFont="1" applyFill="1" applyBorder="1" applyAlignment="1">
      <alignment horizontal="center" vertical="center" wrapText="1"/>
    </xf>
    <xf numFmtId="0" fontId="0" fillId="0" borderId="6" xfId="0" applyBorder="1"/>
    <xf numFmtId="0" fontId="0" fillId="0" borderId="6" xfId="0" applyBorder="1" applyAlignment="1">
      <alignment wrapText="1"/>
    </xf>
    <xf numFmtId="14" fontId="0" fillId="0" borderId="0" xfId="0" applyNumberFormat="1"/>
    <xf numFmtId="14" fontId="1" fillId="0" borderId="0" xfId="0" applyNumberFormat="1" applyFont="1"/>
    <xf numFmtId="0" fontId="12" fillId="0" borderId="4" xfId="0" applyFont="1" applyFill="1" applyBorder="1" applyAlignment="1">
      <alignment vertical="center" wrapText="1"/>
    </xf>
    <xf numFmtId="0" fontId="6" fillId="0" borderId="8" xfId="0" applyFont="1" applyFill="1" applyBorder="1" applyAlignment="1">
      <alignment horizontal="center" vertical="center" wrapText="1"/>
    </xf>
    <xf numFmtId="0" fontId="0" fillId="0" borderId="6" xfId="0" applyFill="1" applyBorder="1" applyAlignment="1">
      <alignment wrapText="1"/>
    </xf>
    <xf numFmtId="0" fontId="30" fillId="0" borderId="9" xfId="0" applyFont="1" applyBorder="1" applyAlignment="1">
      <alignment horizontal="center"/>
    </xf>
    <xf numFmtId="0" fontId="5" fillId="0" borderId="0" xfId="0" applyFont="1" applyAlignment="1">
      <alignment horizontal="center"/>
    </xf>
    <xf numFmtId="0" fontId="22" fillId="9" borderId="0" xfId="1" applyFont="1" applyFill="1" applyBorder="1" applyAlignment="1">
      <alignment horizontal="left" vertical="center"/>
    </xf>
    <xf numFmtId="0" fontId="23" fillId="9" borderId="0" xfId="3" applyFont="1" applyFill="1" applyBorder="1" applyAlignment="1">
      <alignment horizontal="center" vertical="center" wrapText="1"/>
    </xf>
    <xf numFmtId="0" fontId="24" fillId="0" borderId="0" xfId="0" applyFont="1" applyFill="1" applyBorder="1" applyAlignment="1">
      <alignment horizontal="left" vertical="center" wrapText="1"/>
    </xf>
    <xf numFmtId="0" fontId="26" fillId="0" borderId="0" xfId="0" applyFont="1" applyFill="1" applyBorder="1" applyAlignment="1">
      <alignment horizontal="center" vertical="top" wrapText="1"/>
    </xf>
  </cellXfs>
  <cellStyles count="5">
    <cellStyle name="20% - Accent5" xfId="2" builtinId="46"/>
    <cellStyle name="Hyperlink" xfId="3" builtinId="8"/>
    <cellStyle name="Normal" xfId="0" builtinId="0"/>
    <cellStyle name="Percent" xfId="4" builtinId="5"/>
    <cellStyle name="Title" xfId="1" builtinId="15"/>
  </cellStyles>
  <dxfs count="6">
    <dxf>
      <border outline="0">
        <bottom style="thin">
          <color rgb="FFC8F0FF"/>
        </bottom>
      </border>
    </dxf>
    <dxf>
      <font>
        <b/>
        <strike val="0"/>
        <outline val="0"/>
        <shadow val="0"/>
        <u val="none"/>
        <vertAlign val="baseline"/>
        <sz val="14"/>
        <color rgb="FFFFFFFF"/>
        <name val="Calibri"/>
        <scheme val="none"/>
      </font>
    </dxf>
    <dxf>
      <fill>
        <patternFill patternType="solid">
          <fgColor rgb="FFF4F4F4"/>
          <bgColor rgb="FFF2F2F2"/>
        </patternFill>
      </fill>
    </dxf>
    <dxf>
      <fill>
        <patternFill patternType="solid">
          <fgColor rgb="FFFAFAFA"/>
          <bgColor rgb="FFE4E5E6"/>
        </patternFill>
      </fill>
    </dxf>
    <dxf>
      <font>
        <color rgb="FFFAFAFA"/>
      </font>
      <fill>
        <patternFill>
          <bgColor rgb="FF005677"/>
        </patternFill>
      </fill>
      <border>
        <top style="thick">
          <color rgb="FFFFFFFF"/>
        </top>
      </border>
    </dxf>
    <dxf>
      <font>
        <b val="0"/>
        <i val="0"/>
        <color auto="1"/>
      </font>
      <fill>
        <patternFill patternType="none">
          <bgColor auto="1"/>
        </patternFill>
      </fill>
      <border diagonalUp="0" diagonalDown="0">
        <left/>
        <right/>
        <top/>
        <bottom style="thin">
          <color rgb="FF005677"/>
        </bottom>
        <vertical/>
        <horizontal/>
      </border>
    </dxf>
  </dxfs>
  <tableStyles count="1" defaultTableStyle="TableStyleMedium2" defaultPivotStyle="PivotStyleLight16">
    <tableStyle name="Address Book" pivot="0" count="4">
      <tableStyleElement type="wholeTable" dxfId="5"/>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514350</xdr:colOff>
      <xdr:row>6</xdr:row>
      <xdr:rowOff>60960</xdr:rowOff>
    </xdr:to>
    <xdr:pic>
      <xdr:nvPicPr>
        <xdr:cNvPr id="5" name="Picture 4"/>
        <xdr:cNvPicPr>
          <a:picLocks noChangeAspect="1"/>
        </xdr:cNvPicPr>
      </xdr:nvPicPr>
      <xdr:blipFill>
        <a:blip xmlns:r="http://schemas.openxmlformats.org/officeDocument/2006/relationships" r:embed="rId1"/>
        <a:stretch>
          <a:fillRect/>
        </a:stretch>
      </xdr:blipFill>
      <xdr:spPr>
        <a:xfrm>
          <a:off x="0" y="0"/>
          <a:ext cx="6753225" cy="12039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911469</xdr:colOff>
      <xdr:row>6</xdr:row>
      <xdr:rowOff>60960</xdr:rowOff>
    </xdr:to>
    <xdr:pic>
      <xdr:nvPicPr>
        <xdr:cNvPr id="3" name="Picture 2"/>
        <xdr:cNvPicPr>
          <a:picLocks noChangeAspect="1"/>
        </xdr:cNvPicPr>
      </xdr:nvPicPr>
      <xdr:blipFill>
        <a:blip xmlns:r="http://schemas.openxmlformats.org/officeDocument/2006/relationships" r:embed="rId1"/>
        <a:stretch>
          <a:fillRect/>
        </a:stretch>
      </xdr:blipFill>
      <xdr:spPr>
        <a:xfrm>
          <a:off x="0" y="0"/>
          <a:ext cx="6753225" cy="12039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xdr:colOff>
      <xdr:row>6</xdr:row>
      <xdr:rowOff>60960</xdr:rowOff>
    </xdr:to>
    <xdr:pic>
      <xdr:nvPicPr>
        <xdr:cNvPr id="4" name="Picture 3"/>
        <xdr:cNvPicPr>
          <a:picLocks noChangeAspect="1"/>
        </xdr:cNvPicPr>
      </xdr:nvPicPr>
      <xdr:blipFill>
        <a:blip xmlns:r="http://schemas.openxmlformats.org/officeDocument/2006/relationships" r:embed="rId1"/>
        <a:stretch>
          <a:fillRect/>
        </a:stretch>
      </xdr:blipFill>
      <xdr:spPr>
        <a:xfrm>
          <a:off x="0" y="0"/>
          <a:ext cx="6753225" cy="12039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132484</xdr:colOff>
      <xdr:row>6</xdr:row>
      <xdr:rowOff>60960</xdr:rowOff>
    </xdr:to>
    <xdr:pic>
      <xdr:nvPicPr>
        <xdr:cNvPr id="4" name="Picture 3"/>
        <xdr:cNvPicPr>
          <a:picLocks noChangeAspect="1"/>
        </xdr:cNvPicPr>
      </xdr:nvPicPr>
      <xdr:blipFill>
        <a:blip xmlns:r="http://schemas.openxmlformats.org/officeDocument/2006/relationships" r:embed="rId1"/>
        <a:stretch>
          <a:fillRect/>
        </a:stretch>
      </xdr:blipFill>
      <xdr:spPr>
        <a:xfrm>
          <a:off x="0" y="0"/>
          <a:ext cx="6753225" cy="1203960"/>
        </a:xfrm>
        <a:prstGeom prst="rect">
          <a:avLst/>
        </a:prstGeom>
      </xdr:spPr>
    </xdr:pic>
    <xdr:clientData/>
  </xdr:twoCellAnchor>
</xdr:wsDr>
</file>

<file path=xl/tables/table1.xml><?xml version="1.0" encoding="utf-8"?>
<table xmlns="http://schemas.openxmlformats.org/spreadsheetml/2006/main" id="6" name="ColorKeys" displayName="ColorKeys" ref="A3:A17" totalsRowShown="0" headerRowDxfId="1" headerRowBorderDxfId="0">
  <sortState ref="A4:A17">
    <sortCondition ref="A4"/>
  </sortState>
  <tableColumns count="1">
    <tableColumn id="1" name="COMMENTS AND TOTAL OUTSTANDING"/>
  </tableColumns>
  <tableStyleInfo name="Address Book" showFirstColumn="0" showLastColumn="0" showRowStripes="1" showColumnStripes="0"/>
  <extLst>
    <ext xmlns:x14="http://schemas.microsoft.com/office/spreadsheetml/2009/9/main" uri="{504A1905-F514-4f6f-8877-14C23A59335A}">
      <x14:table altTextSummary="Insert or modify Assigned To names in this tabl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6:K37"/>
  <sheetViews>
    <sheetView tabSelected="1" topLeftCell="A4" zoomScaleNormal="100" workbookViewId="0">
      <pane ySplit="6" topLeftCell="A10" activePane="bottomLeft" state="frozen"/>
      <selection activeCell="A4" sqref="A4"/>
      <selection pane="bottomLeft" activeCell="A8" sqref="A8:B8"/>
    </sheetView>
  </sheetViews>
  <sheetFormatPr defaultRowHeight="15"/>
  <cols>
    <col min="1" max="1" width="41.7109375" customWidth="1"/>
    <col min="2" max="2" width="12.7109375" customWidth="1"/>
    <col min="3" max="3" width="16.85546875" customWidth="1"/>
    <col min="4" max="5" width="11.140625" customWidth="1"/>
    <col min="6" max="7" width="16.85546875" bestFit="1" customWidth="1"/>
    <col min="8" max="10" width="11.140625" customWidth="1"/>
    <col min="11" max="11" width="21" customWidth="1"/>
    <col min="12" max="12" width="44.28515625" customWidth="1"/>
  </cols>
  <sheetData>
    <row r="6" spans="1:11">
      <c r="K6" s="1"/>
    </row>
    <row r="7" spans="1:11" ht="33.6" customHeight="1">
      <c r="A7" s="41" t="s">
        <v>2</v>
      </c>
      <c r="B7" s="41"/>
      <c r="C7" s="41"/>
      <c r="D7" s="41"/>
      <c r="E7" s="41"/>
      <c r="G7" s="41"/>
      <c r="H7" s="41"/>
      <c r="I7" s="41"/>
      <c r="J7" s="41"/>
      <c r="K7" s="41"/>
    </row>
    <row r="8" spans="1:11" ht="33.6" customHeight="1" thickBot="1">
      <c r="A8" s="62" t="s">
        <v>67</v>
      </c>
      <c r="B8" s="62"/>
      <c r="C8" s="41"/>
      <c r="D8" s="41"/>
      <c r="E8" s="41"/>
      <c r="F8" s="41"/>
      <c r="G8" s="41"/>
      <c r="H8" s="41"/>
      <c r="I8" s="41"/>
      <c r="J8" s="41"/>
      <c r="K8" s="41"/>
    </row>
    <row r="9" spans="1:11" s="5" customFormat="1" ht="50.25" customHeight="1" thickBot="1">
      <c r="A9" s="26" t="s">
        <v>1</v>
      </c>
      <c r="B9" s="27" t="s">
        <v>2</v>
      </c>
      <c r="C9" s="27" t="s">
        <v>46</v>
      </c>
      <c r="D9" s="27" t="s">
        <v>23</v>
      </c>
      <c r="E9" s="12" t="s">
        <v>25</v>
      </c>
      <c r="F9" s="43" t="s">
        <v>48</v>
      </c>
      <c r="G9" s="27" t="s">
        <v>47</v>
      </c>
      <c r="H9" s="27" t="s">
        <v>41</v>
      </c>
      <c r="I9" s="12" t="s">
        <v>42</v>
      </c>
      <c r="J9" s="12"/>
      <c r="K9" s="12"/>
    </row>
    <row r="10" spans="1:11" ht="18" customHeight="1" thickBot="1">
      <c r="A10" s="10" t="s">
        <v>60</v>
      </c>
      <c r="B10" s="11">
        <v>6</v>
      </c>
      <c r="C10" s="42">
        <f>B10-D10</f>
        <v>6</v>
      </c>
      <c r="D10" s="47"/>
      <c r="E10" s="47"/>
      <c r="F10" s="14">
        <f>B10*300</f>
        <v>1800</v>
      </c>
      <c r="G10" s="14">
        <f>C10*300</f>
        <v>1800</v>
      </c>
      <c r="H10" s="14">
        <f>D10*300</f>
        <v>0</v>
      </c>
      <c r="I10" s="14">
        <f>E10*300</f>
        <v>0</v>
      </c>
      <c r="J10" s="14"/>
      <c r="K10" s="10"/>
    </row>
    <row r="11" spans="1:11" ht="18" customHeight="1" thickBot="1">
      <c r="A11" s="10" t="s">
        <v>61</v>
      </c>
      <c r="B11" s="11">
        <v>9</v>
      </c>
      <c r="C11" s="42">
        <f t="shared" ref="C11:C23" si="0">B11-D11</f>
        <v>9</v>
      </c>
      <c r="D11" s="47"/>
      <c r="E11" s="47"/>
      <c r="F11" s="14">
        <f t="shared" ref="F11:F31" si="1">B11*300</f>
        <v>2700</v>
      </c>
      <c r="G11" s="14">
        <f t="shared" ref="G11:G31" si="2">C11*300</f>
        <v>2700</v>
      </c>
      <c r="H11" s="14">
        <f t="shared" ref="H11:H31" si="3">D11*300</f>
        <v>0</v>
      </c>
      <c r="I11" s="14">
        <f t="shared" ref="I11:I31" si="4">E11*300</f>
        <v>0</v>
      </c>
      <c r="J11" s="14"/>
      <c r="K11" s="10"/>
    </row>
    <row r="12" spans="1:11" ht="18" customHeight="1" thickBot="1">
      <c r="A12" s="10" t="s">
        <v>62</v>
      </c>
      <c r="B12" s="11">
        <v>6</v>
      </c>
      <c r="C12" s="42">
        <f t="shared" si="0"/>
        <v>6</v>
      </c>
      <c r="D12" s="47"/>
      <c r="E12" s="47"/>
      <c r="F12" s="14">
        <f t="shared" si="1"/>
        <v>1800</v>
      </c>
      <c r="G12" s="14">
        <f t="shared" si="2"/>
        <v>1800</v>
      </c>
      <c r="H12" s="14">
        <f t="shared" si="3"/>
        <v>0</v>
      </c>
      <c r="I12" s="14">
        <f t="shared" si="4"/>
        <v>0</v>
      </c>
      <c r="J12" s="14"/>
      <c r="K12" s="10"/>
    </row>
    <row r="13" spans="1:11" ht="18" customHeight="1" thickBot="1">
      <c r="A13" s="10" t="s">
        <v>63</v>
      </c>
      <c r="B13" s="11"/>
      <c r="C13" s="42">
        <f t="shared" si="0"/>
        <v>0</v>
      </c>
      <c r="D13" s="47"/>
      <c r="E13" s="47"/>
      <c r="F13" s="14">
        <f t="shared" si="1"/>
        <v>0</v>
      </c>
      <c r="G13" s="14">
        <f t="shared" si="2"/>
        <v>0</v>
      </c>
      <c r="H13" s="14">
        <f t="shared" si="3"/>
        <v>0</v>
      </c>
      <c r="I13" s="14">
        <f t="shared" si="4"/>
        <v>0</v>
      </c>
      <c r="J13" s="14"/>
      <c r="K13" s="10"/>
    </row>
    <row r="14" spans="1:11" ht="18" customHeight="1" thickBot="1">
      <c r="A14" s="10" t="s">
        <v>64</v>
      </c>
      <c r="B14" s="11">
        <v>9</v>
      </c>
      <c r="C14" s="42">
        <f t="shared" si="0"/>
        <v>9</v>
      </c>
      <c r="D14" s="47"/>
      <c r="E14" s="47"/>
      <c r="F14" s="14">
        <f t="shared" si="1"/>
        <v>2700</v>
      </c>
      <c r="G14" s="14">
        <f t="shared" si="2"/>
        <v>2700</v>
      </c>
      <c r="H14" s="14">
        <f t="shared" si="3"/>
        <v>0</v>
      </c>
      <c r="I14" s="14">
        <f t="shared" si="4"/>
        <v>0</v>
      </c>
      <c r="J14" s="14"/>
      <c r="K14" s="10"/>
    </row>
    <row r="15" spans="1:11" ht="18" hidden="1" customHeight="1" thickBot="1">
      <c r="A15" s="10" t="s">
        <v>3</v>
      </c>
      <c r="B15" s="11"/>
      <c r="C15" s="42">
        <f t="shared" si="0"/>
        <v>0</v>
      </c>
      <c r="D15" s="47"/>
      <c r="E15" s="47"/>
      <c r="F15" s="14">
        <f t="shared" si="1"/>
        <v>0</v>
      </c>
      <c r="G15" s="14">
        <f t="shared" si="2"/>
        <v>0</v>
      </c>
      <c r="H15" s="14">
        <f t="shared" si="3"/>
        <v>0</v>
      </c>
      <c r="I15" s="14">
        <f t="shared" si="4"/>
        <v>0</v>
      </c>
      <c r="J15" s="14"/>
      <c r="K15" s="10"/>
    </row>
    <row r="16" spans="1:11" ht="18" hidden="1" customHeight="1" thickBot="1">
      <c r="A16" s="10" t="s">
        <v>4</v>
      </c>
      <c r="B16" s="11"/>
      <c r="C16" s="42">
        <f t="shared" si="0"/>
        <v>0</v>
      </c>
      <c r="D16" s="47"/>
      <c r="E16" s="47"/>
      <c r="F16" s="14">
        <f t="shared" si="1"/>
        <v>0</v>
      </c>
      <c r="G16" s="14">
        <f t="shared" si="2"/>
        <v>0</v>
      </c>
      <c r="H16" s="14">
        <f t="shared" si="3"/>
        <v>0</v>
      </c>
      <c r="I16" s="14">
        <f t="shared" si="4"/>
        <v>0</v>
      </c>
      <c r="J16" s="14"/>
      <c r="K16" s="10"/>
    </row>
    <row r="17" spans="1:11" ht="18" hidden="1" customHeight="1" thickBot="1">
      <c r="A17" s="10" t="s">
        <v>5</v>
      </c>
      <c r="B17" s="11"/>
      <c r="C17" s="42">
        <f t="shared" si="0"/>
        <v>0</v>
      </c>
      <c r="D17" s="47"/>
      <c r="E17" s="47"/>
      <c r="F17" s="14">
        <f t="shared" si="1"/>
        <v>0</v>
      </c>
      <c r="G17" s="14">
        <f t="shared" si="2"/>
        <v>0</v>
      </c>
      <c r="H17" s="14">
        <f t="shared" si="3"/>
        <v>0</v>
      </c>
      <c r="I17" s="14">
        <f t="shared" si="4"/>
        <v>0</v>
      </c>
      <c r="J17" s="14"/>
      <c r="K17" s="10"/>
    </row>
    <row r="18" spans="1:11" ht="18" hidden="1" customHeight="1" thickBot="1">
      <c r="A18" s="10" t="s">
        <v>6</v>
      </c>
      <c r="B18" s="11"/>
      <c r="C18" s="42">
        <f t="shared" si="0"/>
        <v>0</v>
      </c>
      <c r="D18" s="47"/>
      <c r="E18" s="47"/>
      <c r="F18" s="14">
        <f t="shared" si="1"/>
        <v>0</v>
      </c>
      <c r="G18" s="14">
        <f t="shared" si="2"/>
        <v>0</v>
      </c>
      <c r="H18" s="14">
        <f t="shared" si="3"/>
        <v>0</v>
      </c>
      <c r="I18" s="14">
        <f t="shared" si="4"/>
        <v>0</v>
      </c>
      <c r="J18" s="14"/>
      <c r="K18" s="10"/>
    </row>
    <row r="19" spans="1:11" ht="18" hidden="1" customHeight="1" thickBot="1">
      <c r="A19" s="10" t="s">
        <v>7</v>
      </c>
      <c r="B19" s="11"/>
      <c r="C19" s="42">
        <f t="shared" si="0"/>
        <v>0</v>
      </c>
      <c r="D19" s="47"/>
      <c r="E19" s="47"/>
      <c r="F19" s="14">
        <f t="shared" si="1"/>
        <v>0</v>
      </c>
      <c r="G19" s="14">
        <f t="shared" si="2"/>
        <v>0</v>
      </c>
      <c r="H19" s="14">
        <f t="shared" si="3"/>
        <v>0</v>
      </c>
      <c r="I19" s="14">
        <f t="shared" si="4"/>
        <v>0</v>
      </c>
      <c r="J19" s="14"/>
      <c r="K19" s="10"/>
    </row>
    <row r="20" spans="1:11" ht="18" hidden="1" customHeight="1" thickBot="1">
      <c r="A20" s="10" t="s">
        <v>8</v>
      </c>
      <c r="B20" s="11"/>
      <c r="C20" s="42">
        <f t="shared" si="0"/>
        <v>0</v>
      </c>
      <c r="D20" s="47"/>
      <c r="E20" s="47"/>
      <c r="F20" s="14">
        <f t="shared" si="1"/>
        <v>0</v>
      </c>
      <c r="G20" s="14">
        <f t="shared" si="2"/>
        <v>0</v>
      </c>
      <c r="H20" s="14">
        <f t="shared" si="3"/>
        <v>0</v>
      </c>
      <c r="I20" s="14">
        <f t="shared" si="4"/>
        <v>0</v>
      </c>
      <c r="J20" s="14"/>
      <c r="K20" s="10"/>
    </row>
    <row r="21" spans="1:11" ht="18" hidden="1" customHeight="1" thickBot="1">
      <c r="A21" s="10" t="s">
        <v>10</v>
      </c>
      <c r="B21" s="11"/>
      <c r="C21" s="42">
        <f t="shared" si="0"/>
        <v>0</v>
      </c>
      <c r="D21" s="47"/>
      <c r="E21" s="47"/>
      <c r="F21" s="14">
        <f t="shared" si="1"/>
        <v>0</v>
      </c>
      <c r="G21" s="14">
        <f t="shared" si="2"/>
        <v>0</v>
      </c>
      <c r="H21" s="14">
        <f t="shared" si="3"/>
        <v>0</v>
      </c>
      <c r="I21" s="14">
        <f t="shared" si="4"/>
        <v>0</v>
      </c>
      <c r="J21" s="14"/>
      <c r="K21" s="10"/>
    </row>
    <row r="22" spans="1:11" ht="16.5" hidden="1" thickBot="1">
      <c r="A22" s="10" t="s">
        <v>11</v>
      </c>
      <c r="B22" s="11"/>
      <c r="C22" s="42">
        <f t="shared" si="0"/>
        <v>0</v>
      </c>
      <c r="D22" s="47"/>
      <c r="E22" s="47"/>
      <c r="F22" s="14">
        <f t="shared" si="1"/>
        <v>0</v>
      </c>
      <c r="G22" s="14">
        <f t="shared" si="2"/>
        <v>0</v>
      </c>
      <c r="H22" s="14">
        <f t="shared" si="3"/>
        <v>0</v>
      </c>
      <c r="I22" s="14">
        <f t="shared" si="4"/>
        <v>0</v>
      </c>
      <c r="J22" s="14"/>
      <c r="K22" s="10"/>
    </row>
    <row r="23" spans="1:11" ht="16.5" hidden="1" thickBot="1">
      <c r="A23" s="10" t="s">
        <v>12</v>
      </c>
      <c r="B23" s="11"/>
      <c r="C23" s="42">
        <f t="shared" si="0"/>
        <v>0</v>
      </c>
      <c r="D23" s="47"/>
      <c r="E23" s="47"/>
      <c r="F23" s="14">
        <f t="shared" si="1"/>
        <v>0</v>
      </c>
      <c r="G23" s="14">
        <f t="shared" si="2"/>
        <v>0</v>
      </c>
      <c r="H23" s="14">
        <f t="shared" si="3"/>
        <v>0</v>
      </c>
      <c r="I23" s="14">
        <f t="shared" si="4"/>
        <v>0</v>
      </c>
      <c r="J23" s="14"/>
      <c r="K23" s="10"/>
    </row>
    <row r="24" spans="1:11" ht="16.5" hidden="1" thickBot="1">
      <c r="A24" s="10" t="s">
        <v>13</v>
      </c>
      <c r="B24" s="11"/>
      <c r="C24" s="42">
        <f t="shared" ref="C24:C31" si="5">B24-D24</f>
        <v>0</v>
      </c>
      <c r="D24" s="47"/>
      <c r="E24" s="47"/>
      <c r="F24" s="14">
        <f t="shared" ref="F24:F30" si="6">B24*300</f>
        <v>0</v>
      </c>
      <c r="G24" s="14">
        <f t="shared" si="2"/>
        <v>0</v>
      </c>
      <c r="H24" s="14">
        <f t="shared" si="3"/>
        <v>0</v>
      </c>
      <c r="I24" s="14">
        <f t="shared" si="4"/>
        <v>0</v>
      </c>
      <c r="J24" s="14"/>
      <c r="K24" s="10"/>
    </row>
    <row r="25" spans="1:11" ht="16.5" hidden="1" thickBot="1">
      <c r="A25" s="10" t="s">
        <v>14</v>
      </c>
      <c r="B25" s="11"/>
      <c r="C25" s="42">
        <f t="shared" si="5"/>
        <v>0</v>
      </c>
      <c r="D25" s="47"/>
      <c r="E25" s="47"/>
      <c r="F25" s="14">
        <f t="shared" si="6"/>
        <v>0</v>
      </c>
      <c r="G25" s="14">
        <f t="shared" si="2"/>
        <v>0</v>
      </c>
      <c r="H25" s="14">
        <f t="shared" si="3"/>
        <v>0</v>
      </c>
      <c r="I25" s="14">
        <f t="shared" si="4"/>
        <v>0</v>
      </c>
      <c r="J25" s="14"/>
      <c r="K25" s="10"/>
    </row>
    <row r="26" spans="1:11" ht="19.5" hidden="1" customHeight="1" thickBot="1">
      <c r="A26" s="10" t="s">
        <v>18</v>
      </c>
      <c r="B26" s="11"/>
      <c r="C26" s="42">
        <f t="shared" si="5"/>
        <v>0</v>
      </c>
      <c r="D26" s="47"/>
      <c r="E26" s="47"/>
      <c r="F26" s="14">
        <f t="shared" si="6"/>
        <v>0</v>
      </c>
      <c r="G26" s="14">
        <f t="shared" si="2"/>
        <v>0</v>
      </c>
      <c r="H26" s="14">
        <f t="shared" si="3"/>
        <v>0</v>
      </c>
      <c r="I26" s="14">
        <f t="shared" si="4"/>
        <v>0</v>
      </c>
      <c r="J26" s="14"/>
      <c r="K26" s="10"/>
    </row>
    <row r="27" spans="1:11" ht="19.5" hidden="1" customHeight="1" thickBot="1">
      <c r="A27" s="10" t="s">
        <v>15</v>
      </c>
      <c r="B27" s="11"/>
      <c r="C27" s="42">
        <f t="shared" si="5"/>
        <v>0</v>
      </c>
      <c r="D27" s="47"/>
      <c r="E27" s="47"/>
      <c r="F27" s="14">
        <f t="shared" si="6"/>
        <v>0</v>
      </c>
      <c r="G27" s="14">
        <f t="shared" si="2"/>
        <v>0</v>
      </c>
      <c r="H27" s="14">
        <f t="shared" si="3"/>
        <v>0</v>
      </c>
      <c r="I27" s="14">
        <f t="shared" si="4"/>
        <v>0</v>
      </c>
      <c r="J27" s="14"/>
      <c r="K27" s="10"/>
    </row>
    <row r="28" spans="1:11" ht="19.5" hidden="1" customHeight="1" thickBot="1">
      <c r="A28" s="10" t="s">
        <v>16</v>
      </c>
      <c r="B28" s="11"/>
      <c r="C28" s="42">
        <f t="shared" si="5"/>
        <v>0</v>
      </c>
      <c r="D28" s="47"/>
      <c r="E28" s="47"/>
      <c r="F28" s="14">
        <f t="shared" si="6"/>
        <v>0</v>
      </c>
      <c r="G28" s="14">
        <f t="shared" si="2"/>
        <v>0</v>
      </c>
      <c r="H28" s="14">
        <f t="shared" si="3"/>
        <v>0</v>
      </c>
      <c r="I28" s="14">
        <f t="shared" si="4"/>
        <v>0</v>
      </c>
      <c r="J28" s="14"/>
      <c r="K28" s="10"/>
    </row>
    <row r="29" spans="1:11" ht="19.5" hidden="1" customHeight="1" thickBot="1">
      <c r="A29" s="10" t="s">
        <v>19</v>
      </c>
      <c r="B29" s="11"/>
      <c r="C29" s="42">
        <f t="shared" si="5"/>
        <v>0</v>
      </c>
      <c r="D29" s="47"/>
      <c r="E29" s="47"/>
      <c r="F29" s="14">
        <f t="shared" si="6"/>
        <v>0</v>
      </c>
      <c r="G29" s="14">
        <f t="shared" si="2"/>
        <v>0</v>
      </c>
      <c r="H29" s="14">
        <f t="shared" si="3"/>
        <v>0</v>
      </c>
      <c r="I29" s="14">
        <f t="shared" si="4"/>
        <v>0</v>
      </c>
      <c r="J29" s="14"/>
      <c r="K29" s="10"/>
    </row>
    <row r="30" spans="1:11" ht="19.5" hidden="1" customHeight="1" thickBot="1">
      <c r="A30" s="10" t="s">
        <v>20</v>
      </c>
      <c r="B30" s="11"/>
      <c r="C30" s="42">
        <f t="shared" si="5"/>
        <v>0</v>
      </c>
      <c r="D30" s="47"/>
      <c r="E30" s="47"/>
      <c r="F30" s="14">
        <f t="shared" si="6"/>
        <v>0</v>
      </c>
      <c r="G30" s="14">
        <f t="shared" si="2"/>
        <v>0</v>
      </c>
      <c r="H30" s="14">
        <f t="shared" si="3"/>
        <v>0</v>
      </c>
      <c r="I30" s="14">
        <f t="shared" si="4"/>
        <v>0</v>
      </c>
      <c r="J30" s="14"/>
      <c r="K30" s="10"/>
    </row>
    <row r="31" spans="1:11" ht="19.5" hidden="1" customHeight="1" thickBot="1">
      <c r="A31" s="10" t="s">
        <v>57</v>
      </c>
      <c r="B31" s="11"/>
      <c r="C31" s="42">
        <f t="shared" si="5"/>
        <v>0</v>
      </c>
      <c r="D31" s="47"/>
      <c r="E31" s="47"/>
      <c r="F31" s="14">
        <f t="shared" si="1"/>
        <v>0</v>
      </c>
      <c r="G31" s="14">
        <f t="shared" si="2"/>
        <v>0</v>
      </c>
      <c r="H31" s="14">
        <f t="shared" si="3"/>
        <v>0</v>
      </c>
      <c r="I31" s="14">
        <f t="shared" si="4"/>
        <v>0</v>
      </c>
      <c r="J31" s="14"/>
      <c r="K31" s="10"/>
    </row>
    <row r="32" spans="1:11" ht="19.5" hidden="1" customHeight="1" thickBot="1">
      <c r="A32" s="10" t="s">
        <v>59</v>
      </c>
      <c r="B32" s="11"/>
      <c r="C32" s="42">
        <f t="shared" ref="C32" si="7">B32-D32</f>
        <v>0</v>
      </c>
      <c r="D32" s="47"/>
      <c r="E32" s="47"/>
      <c r="F32" s="14">
        <f t="shared" ref="F32" si="8">B32*300</f>
        <v>0</v>
      </c>
      <c r="G32" s="14">
        <f t="shared" ref="G32" si="9">C32*300</f>
        <v>0</v>
      </c>
      <c r="H32" s="14">
        <f t="shared" ref="H32" si="10">D32*300</f>
        <v>0</v>
      </c>
      <c r="I32" s="14">
        <f t="shared" ref="I32" si="11">E32*300</f>
        <v>0</v>
      </c>
      <c r="J32" s="14"/>
      <c r="K32" s="10"/>
    </row>
    <row r="33" spans="1:11" s="4" customFormat="1" ht="19.5" thickBot="1">
      <c r="A33" s="2" t="s">
        <v>0</v>
      </c>
      <c r="B33" s="2">
        <f>SUM(B10:B32)</f>
        <v>30</v>
      </c>
      <c r="C33" s="2"/>
      <c r="D33" s="48"/>
      <c r="E33" s="48"/>
      <c r="F33" s="9">
        <f>SUM(F10:F32)</f>
        <v>9000</v>
      </c>
      <c r="G33" s="9">
        <f>SUM(G10:G32)</f>
        <v>9000</v>
      </c>
      <c r="H33" s="9">
        <f>SUM(H10:H32)</f>
        <v>0</v>
      </c>
      <c r="I33" s="9">
        <f>SUM(I10:I32)</f>
        <v>0</v>
      </c>
      <c r="J33" s="9"/>
      <c r="K33" s="3">
        <f>'QUICK GRID'!L26</f>
        <v>0</v>
      </c>
    </row>
    <row r="35" spans="1:11">
      <c r="A35" s="7"/>
    </row>
    <row r="36" spans="1:11" ht="15.75">
      <c r="A36" s="29" t="s">
        <v>65</v>
      </c>
    </row>
    <row r="37" spans="1:11">
      <c r="A37" s="57"/>
    </row>
  </sheetData>
  <autoFilter ref="A9:K9"/>
  <mergeCells count="1">
    <mergeCell ref="A8:B8"/>
  </mergeCells>
  <pageMargins left="0" right="0" top="0" bottom="0.74803149606299213" header="0.31496062992125984" footer="0.31496062992125984"/>
  <pageSetup orientation="portrait" r:id="rId1"/>
  <headerFooter>
    <oddHeader xml:space="preserve">&amp;L
</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J36"/>
  <sheetViews>
    <sheetView topLeftCell="A4" zoomScale="95" zoomScaleNormal="95" workbookViewId="0">
      <pane ySplit="6" topLeftCell="A10" activePane="bottomLeft" state="frozen"/>
      <selection activeCell="A4" sqref="A4"/>
      <selection pane="bottomLeft" activeCell="A8" sqref="A8"/>
    </sheetView>
  </sheetViews>
  <sheetFormatPr defaultRowHeight="15"/>
  <cols>
    <col min="1" max="1" width="41.7109375" customWidth="1"/>
    <col min="2" max="2" width="10.140625" customWidth="1"/>
    <col min="3" max="3" width="13.42578125" customWidth="1"/>
    <col min="4" max="4" width="22.42578125" customWidth="1"/>
    <col min="5" max="5" width="25" customWidth="1"/>
    <col min="6" max="6" width="30" customWidth="1"/>
    <col min="7" max="7" width="27.85546875" customWidth="1"/>
    <col min="8" max="8" width="23.85546875" customWidth="1"/>
  </cols>
  <sheetData>
    <row r="6" spans="1:10">
      <c r="F6" s="1"/>
    </row>
    <row r="7" spans="1:10" ht="36">
      <c r="A7" s="63" t="s">
        <v>52</v>
      </c>
      <c r="B7" s="63"/>
      <c r="C7" s="63"/>
      <c r="D7" s="63"/>
      <c r="E7" s="63"/>
      <c r="F7" s="63"/>
    </row>
    <row r="8" spans="1:10" ht="36.75" thickBot="1">
      <c r="A8" s="36" t="str">
        <f>CREDITS!$A$8</f>
        <v>00047930 Mitchell, Shantel N.</v>
      </c>
      <c r="B8" s="41"/>
      <c r="C8" s="49"/>
      <c r="D8" s="41"/>
      <c r="E8" s="41"/>
      <c r="F8" s="41"/>
    </row>
    <row r="9" spans="1:10" ht="48" thickBot="1">
      <c r="A9" s="26" t="s">
        <v>1</v>
      </c>
      <c r="B9" s="27" t="s">
        <v>24</v>
      </c>
      <c r="C9" s="27" t="s">
        <v>48</v>
      </c>
      <c r="D9" s="27" t="s">
        <v>49</v>
      </c>
      <c r="E9" s="12" t="s">
        <v>50</v>
      </c>
      <c r="F9" s="12" t="s">
        <v>53</v>
      </c>
      <c r="G9" s="12" t="str">
        <f>CREDITS!G9</f>
        <v>UNDERGRAD TUITION</v>
      </c>
      <c r="H9" s="12" t="str">
        <f>CREDITS!I9</f>
        <v>REPEATED CREDITS TUITION</v>
      </c>
      <c r="I9" s="12"/>
      <c r="J9" s="12"/>
    </row>
    <row r="10" spans="1:10" ht="16.5" thickBot="1">
      <c r="A10" s="10" t="str">
        <f>CREDITS!A10</f>
        <v>Sep 2011-Aug 2012: Semester 1 (201210)</v>
      </c>
      <c r="B10" s="44">
        <v>1</v>
      </c>
      <c r="C10" s="50">
        <f>CREDITS!F10</f>
        <v>1800</v>
      </c>
      <c r="D10" s="14">
        <f t="shared" ref="D10:D32" si="0">((G10-H10)*(1*B10))</f>
        <v>1800</v>
      </c>
      <c r="E10" s="14">
        <v>1800</v>
      </c>
      <c r="F10" s="10" t="s">
        <v>36</v>
      </c>
      <c r="G10" s="10">
        <f>CREDITS!G10</f>
        <v>1800</v>
      </c>
      <c r="H10" s="10">
        <f>CREDITS!I10</f>
        <v>0</v>
      </c>
      <c r="I10" s="10"/>
      <c r="J10" s="10"/>
    </row>
    <row r="11" spans="1:10" ht="18" customHeight="1" thickBot="1">
      <c r="A11" s="10" t="str">
        <f>CREDITS!A11</f>
        <v>Sep 2011-Aug 2012: Semester 2 (201220)</v>
      </c>
      <c r="B11" s="44">
        <v>1</v>
      </c>
      <c r="C11" s="50">
        <f>CREDITS!F11</f>
        <v>2700</v>
      </c>
      <c r="D11" s="14">
        <f t="shared" si="0"/>
        <v>2700</v>
      </c>
      <c r="E11" s="14">
        <v>2700</v>
      </c>
      <c r="F11" s="10" t="s">
        <v>36</v>
      </c>
      <c r="G11" s="10">
        <f>CREDITS!G11</f>
        <v>2700</v>
      </c>
      <c r="H11" s="10">
        <f>CREDITS!I11</f>
        <v>0</v>
      </c>
      <c r="I11" s="10"/>
      <c r="J11" s="10"/>
    </row>
    <row r="12" spans="1:10" ht="18" customHeight="1" thickBot="1">
      <c r="A12" s="10" t="str">
        <f>CREDITS!A12</f>
        <v>Sep 2012-Aug 2013: Semester 1 (201310)</v>
      </c>
      <c r="B12" s="44">
        <v>1</v>
      </c>
      <c r="C12" s="50">
        <f>CREDITS!F12</f>
        <v>1800</v>
      </c>
      <c r="D12" s="14">
        <v>0</v>
      </c>
      <c r="E12" s="14"/>
      <c r="F12" s="10" t="s">
        <v>37</v>
      </c>
      <c r="G12" s="10">
        <f>CREDITS!G12</f>
        <v>1800</v>
      </c>
      <c r="H12" s="10">
        <f>CREDITS!I12</f>
        <v>0</v>
      </c>
      <c r="I12" s="10"/>
      <c r="J12" s="10"/>
    </row>
    <row r="13" spans="1:10" ht="18" customHeight="1" thickBot="1">
      <c r="A13" s="10" t="str">
        <f>CREDITS!A13</f>
        <v>Sep 2012-Aug 2013: Semester 2 (201320)</v>
      </c>
      <c r="B13" s="44">
        <v>1</v>
      </c>
      <c r="C13" s="50">
        <f>CREDITS!F13</f>
        <v>0</v>
      </c>
      <c r="D13" s="14">
        <f t="shared" si="0"/>
        <v>0</v>
      </c>
      <c r="E13" s="14"/>
      <c r="F13" s="10"/>
      <c r="G13" s="10">
        <f>CREDITS!G13</f>
        <v>0</v>
      </c>
      <c r="H13" s="10">
        <f>CREDITS!I13</f>
        <v>0</v>
      </c>
      <c r="I13" s="10"/>
      <c r="J13" s="10"/>
    </row>
    <row r="14" spans="1:10" ht="18" customHeight="1" thickBot="1">
      <c r="A14" s="10" t="str">
        <f>CREDITS!A14</f>
        <v>Sep 2013- Aug 2014: Semester 1 (201410)</v>
      </c>
      <c r="B14" s="44">
        <v>1</v>
      </c>
      <c r="C14" s="50">
        <f>CREDITS!F14</f>
        <v>2700</v>
      </c>
      <c r="D14" s="14">
        <v>0</v>
      </c>
      <c r="E14" s="14"/>
      <c r="F14" s="10" t="s">
        <v>37</v>
      </c>
      <c r="G14" s="10">
        <f>CREDITS!G14</f>
        <v>2700</v>
      </c>
      <c r="H14" s="10">
        <f>CREDITS!I14</f>
        <v>0</v>
      </c>
      <c r="I14" s="10"/>
      <c r="J14" s="10"/>
    </row>
    <row r="15" spans="1:10" ht="18" customHeight="1" thickBot="1">
      <c r="A15" s="10" t="str">
        <f>CREDITS!A15</f>
        <v>Sep 2015- Aug 2016: Semester 1 (201610)</v>
      </c>
      <c r="B15" s="44">
        <v>1</v>
      </c>
      <c r="C15" s="50">
        <f>CREDITS!F15</f>
        <v>0</v>
      </c>
      <c r="D15" s="14">
        <f t="shared" si="0"/>
        <v>0</v>
      </c>
      <c r="E15" s="14"/>
      <c r="F15" s="10"/>
      <c r="G15" s="10">
        <f>CREDITS!G15</f>
        <v>0</v>
      </c>
      <c r="H15" s="10">
        <f>CREDITS!I15</f>
        <v>0</v>
      </c>
      <c r="I15" s="10"/>
      <c r="J15" s="10"/>
    </row>
    <row r="16" spans="1:10" ht="18" customHeight="1" thickBot="1">
      <c r="A16" s="10" t="str">
        <f>CREDITS!A16</f>
        <v>Sep 2015- Aug 2016: Semester 2 (201620)</v>
      </c>
      <c r="B16" s="44">
        <v>1</v>
      </c>
      <c r="C16" s="50">
        <f>CREDITS!F16</f>
        <v>0</v>
      </c>
      <c r="D16" s="14">
        <f t="shared" si="0"/>
        <v>0</v>
      </c>
      <c r="E16" s="14"/>
      <c r="F16" s="10"/>
      <c r="G16" s="10">
        <f>CREDITS!G16</f>
        <v>0</v>
      </c>
      <c r="H16" s="10">
        <f>CREDITS!I16</f>
        <v>0</v>
      </c>
      <c r="I16" s="10"/>
      <c r="J16" s="10"/>
    </row>
    <row r="17" spans="1:10" ht="18" customHeight="1" thickBot="1">
      <c r="A17" s="10" t="str">
        <f>CREDITS!A17</f>
        <v>Sep 2015- Aug 2016: Semester 3 (201630)</v>
      </c>
      <c r="B17" s="44">
        <v>1</v>
      </c>
      <c r="C17" s="50">
        <f>CREDITS!F17</f>
        <v>0</v>
      </c>
      <c r="D17" s="14">
        <f t="shared" si="0"/>
        <v>0</v>
      </c>
      <c r="E17" s="14"/>
      <c r="F17" s="10"/>
      <c r="G17" s="10">
        <f>CREDITS!G17</f>
        <v>0</v>
      </c>
      <c r="H17" s="10">
        <f>CREDITS!I17</f>
        <v>0</v>
      </c>
      <c r="I17" s="10"/>
      <c r="J17" s="10"/>
    </row>
    <row r="18" spans="1:10" ht="18" customHeight="1" thickBot="1">
      <c r="A18" s="10" t="str">
        <f>CREDITS!A18</f>
        <v>Sep 2016- Aug 2017: Semester 1 (201710)</v>
      </c>
      <c r="B18" s="44">
        <v>1</v>
      </c>
      <c r="C18" s="50">
        <f>CREDITS!F18</f>
        <v>0</v>
      </c>
      <c r="D18" s="14">
        <f t="shared" si="0"/>
        <v>0</v>
      </c>
      <c r="E18" s="14"/>
      <c r="F18" s="10"/>
      <c r="G18" s="10">
        <f>CREDITS!G18</f>
        <v>0</v>
      </c>
      <c r="H18" s="10">
        <f>CREDITS!I18</f>
        <v>0</v>
      </c>
      <c r="I18" s="10"/>
      <c r="J18" s="10"/>
    </row>
    <row r="19" spans="1:10" ht="18" customHeight="1" thickBot="1">
      <c r="A19" s="10" t="str">
        <f>CREDITS!A19</f>
        <v>Sep 2016- Aug 2017: Semester 2 (201720)</v>
      </c>
      <c r="B19" s="44">
        <v>1</v>
      </c>
      <c r="C19" s="50">
        <f>CREDITS!F19</f>
        <v>0</v>
      </c>
      <c r="D19" s="14">
        <f t="shared" si="0"/>
        <v>0</v>
      </c>
      <c r="E19" s="14"/>
      <c r="F19" s="10"/>
      <c r="G19" s="10">
        <f>CREDITS!G19</f>
        <v>0</v>
      </c>
      <c r="H19" s="10">
        <f>CREDITS!I19</f>
        <v>0</v>
      </c>
      <c r="I19" s="10"/>
      <c r="J19" s="10"/>
    </row>
    <row r="20" spans="1:10" ht="18" customHeight="1" thickBot="1">
      <c r="A20" s="10" t="str">
        <f>CREDITS!A20</f>
        <v>Sep 2016- Aug 2017: Semester 3 (201730)</v>
      </c>
      <c r="B20" s="44">
        <v>1</v>
      </c>
      <c r="C20" s="50">
        <f>CREDITS!F20</f>
        <v>0</v>
      </c>
      <c r="D20" s="14">
        <f t="shared" si="0"/>
        <v>0</v>
      </c>
      <c r="E20" s="14"/>
      <c r="F20" s="10"/>
      <c r="G20" s="10">
        <f>CREDITS!G20</f>
        <v>0</v>
      </c>
      <c r="H20" s="10">
        <f>CREDITS!I20</f>
        <v>0</v>
      </c>
      <c r="I20" s="10"/>
      <c r="J20" s="10"/>
    </row>
    <row r="21" spans="1:10" ht="18" customHeight="1" thickBot="1">
      <c r="A21" s="10" t="str">
        <f>CREDITS!A21</f>
        <v>Sep 2017- Aug 2018: Semester 1 (201810)</v>
      </c>
      <c r="B21" s="44">
        <v>1</v>
      </c>
      <c r="C21" s="50">
        <f>CREDITS!F21</f>
        <v>0</v>
      </c>
      <c r="D21" s="14">
        <f t="shared" si="0"/>
        <v>0</v>
      </c>
      <c r="E21" s="14"/>
      <c r="F21" s="10"/>
      <c r="G21" s="10">
        <f>CREDITS!G21</f>
        <v>0</v>
      </c>
      <c r="H21" s="10">
        <f>CREDITS!I21</f>
        <v>0</v>
      </c>
      <c r="I21" s="10"/>
      <c r="J21" s="10"/>
    </row>
    <row r="22" spans="1:10" ht="18" customHeight="1" thickBot="1">
      <c r="A22" s="10" t="str">
        <f>CREDITS!A22</f>
        <v>Sep 2017- Aug 2018: Semester 2 (201820)</v>
      </c>
      <c r="B22" s="44">
        <v>1</v>
      </c>
      <c r="C22" s="50">
        <f>CREDITS!F22</f>
        <v>0</v>
      </c>
      <c r="D22" s="14">
        <f t="shared" si="0"/>
        <v>0</v>
      </c>
      <c r="E22" s="14"/>
      <c r="F22" s="10"/>
      <c r="G22" s="10">
        <f>CREDITS!G22</f>
        <v>0</v>
      </c>
      <c r="H22" s="10">
        <f>CREDITS!I22</f>
        <v>0</v>
      </c>
      <c r="I22" s="10"/>
      <c r="J22" s="10"/>
    </row>
    <row r="23" spans="1:10" ht="18" customHeight="1" thickBot="1">
      <c r="A23" s="10" t="str">
        <f>CREDITS!A23</f>
        <v>Sep 2017- Aug 2018: Semester 3 (201830)</v>
      </c>
      <c r="B23" s="44">
        <v>1</v>
      </c>
      <c r="C23" s="50">
        <f>CREDITS!F23</f>
        <v>0</v>
      </c>
      <c r="D23" s="14">
        <f t="shared" si="0"/>
        <v>0</v>
      </c>
      <c r="E23" s="14"/>
      <c r="F23" s="10"/>
      <c r="G23" s="10">
        <f>CREDITS!G23</f>
        <v>0</v>
      </c>
      <c r="H23" s="10">
        <f>CREDITS!I23</f>
        <v>0</v>
      </c>
      <c r="I23" s="10"/>
      <c r="J23" s="10"/>
    </row>
    <row r="24" spans="1:10" ht="18" customHeight="1" thickBot="1">
      <c r="A24" s="10" t="str">
        <f>CREDITS!A24</f>
        <v>Sep 2018- Aug 2019: Semester 1 (201910)</v>
      </c>
      <c r="B24" s="44">
        <v>1</v>
      </c>
      <c r="C24" s="50">
        <f>CREDITS!F24</f>
        <v>0</v>
      </c>
      <c r="D24" s="14">
        <f t="shared" si="0"/>
        <v>0</v>
      </c>
      <c r="E24" s="14"/>
      <c r="F24" s="10"/>
      <c r="G24" s="10">
        <f>CREDITS!G24</f>
        <v>0</v>
      </c>
      <c r="H24" s="10">
        <f>CREDITS!I24</f>
        <v>0</v>
      </c>
      <c r="I24" s="10"/>
      <c r="J24" s="10"/>
    </row>
    <row r="25" spans="1:10" ht="18" customHeight="1" thickBot="1">
      <c r="A25" s="10" t="str">
        <f>CREDITS!A25</f>
        <v>Sep 2018- Aug 2019: Semester 2 (201920)</v>
      </c>
      <c r="B25" s="44">
        <v>1</v>
      </c>
      <c r="C25" s="50">
        <f>CREDITS!F25</f>
        <v>0</v>
      </c>
      <c r="D25" s="14">
        <f t="shared" si="0"/>
        <v>0</v>
      </c>
      <c r="E25" s="14"/>
      <c r="F25" s="10"/>
      <c r="G25" s="10">
        <f>CREDITS!G25</f>
        <v>0</v>
      </c>
      <c r="H25" s="10">
        <f>CREDITS!I25</f>
        <v>0</v>
      </c>
      <c r="I25" s="10"/>
      <c r="J25" s="10"/>
    </row>
    <row r="26" spans="1:10" ht="18" customHeight="1" thickBot="1">
      <c r="A26" s="10" t="str">
        <f>CREDITS!A26</f>
        <v>Sep 2018- Aug 2019: Semester 3 (201930)</v>
      </c>
      <c r="B26" s="44">
        <v>1</v>
      </c>
      <c r="C26" s="50">
        <f>CREDITS!F26</f>
        <v>0</v>
      </c>
      <c r="D26" s="14">
        <f t="shared" si="0"/>
        <v>0</v>
      </c>
      <c r="E26" s="14"/>
      <c r="F26" s="10"/>
      <c r="G26" s="10">
        <f>CREDITS!G26</f>
        <v>0</v>
      </c>
      <c r="H26" s="10">
        <f>CREDITS!I26</f>
        <v>0</v>
      </c>
      <c r="I26" s="10"/>
      <c r="J26" s="10"/>
    </row>
    <row r="27" spans="1:10" ht="18" customHeight="1" thickBot="1">
      <c r="A27" s="10" t="str">
        <f>CREDITS!A27</f>
        <v>Sep 2019- Aug 2020: Semester 1 (202010)</v>
      </c>
      <c r="B27" s="44">
        <v>1</v>
      </c>
      <c r="C27" s="50">
        <f>CREDITS!F27</f>
        <v>0</v>
      </c>
      <c r="D27" s="14">
        <f t="shared" si="0"/>
        <v>0</v>
      </c>
      <c r="E27" s="14"/>
      <c r="F27" s="10"/>
      <c r="G27" s="10">
        <f>CREDITS!G27</f>
        <v>0</v>
      </c>
      <c r="H27" s="10">
        <f>CREDITS!I27</f>
        <v>0</v>
      </c>
      <c r="I27" s="10"/>
      <c r="J27" s="10"/>
    </row>
    <row r="28" spans="1:10" ht="18" customHeight="1" thickBot="1">
      <c r="A28" s="10" t="str">
        <f>CREDITS!A28</f>
        <v>Sep 2019- Aug 2020: Semester 2 (202020)</v>
      </c>
      <c r="B28" s="44">
        <v>1</v>
      </c>
      <c r="C28" s="50">
        <f>CREDITS!F28</f>
        <v>0</v>
      </c>
      <c r="D28" s="14">
        <f t="shared" si="0"/>
        <v>0</v>
      </c>
      <c r="E28" s="14"/>
      <c r="F28" s="10"/>
      <c r="G28" s="10">
        <f>CREDITS!G28</f>
        <v>0</v>
      </c>
      <c r="H28" s="10">
        <f>CREDITS!I28</f>
        <v>0</v>
      </c>
      <c r="I28" s="10"/>
      <c r="J28" s="10"/>
    </row>
    <row r="29" spans="1:10" ht="18" customHeight="1" thickBot="1">
      <c r="A29" s="10" t="str">
        <f>CREDITS!A29</f>
        <v>Sep 2020- Aug 2021: Semester 1 (202110)</v>
      </c>
      <c r="B29" s="44">
        <v>1</v>
      </c>
      <c r="C29" s="50">
        <f>CREDITS!F29</f>
        <v>0</v>
      </c>
      <c r="D29" s="14">
        <f t="shared" si="0"/>
        <v>0</v>
      </c>
      <c r="E29" s="14"/>
      <c r="F29" s="10"/>
      <c r="G29" s="10">
        <f>CREDITS!G29</f>
        <v>0</v>
      </c>
      <c r="H29" s="10">
        <f>CREDITS!I29</f>
        <v>0</v>
      </c>
      <c r="I29" s="10"/>
      <c r="J29" s="10"/>
    </row>
    <row r="30" spans="1:10" ht="18" customHeight="1" thickBot="1">
      <c r="A30" s="10" t="str">
        <f>CREDITS!A30</f>
        <v>Sep 2020- Aug 2021: Semester 2 (202120)</v>
      </c>
      <c r="B30" s="44">
        <v>1</v>
      </c>
      <c r="C30" s="50">
        <f>CREDITS!F30</f>
        <v>0</v>
      </c>
      <c r="D30" s="14">
        <f t="shared" si="0"/>
        <v>0</v>
      </c>
      <c r="E30" s="14"/>
      <c r="F30" s="10"/>
      <c r="G30" s="10">
        <f>CREDITS!G30</f>
        <v>0</v>
      </c>
      <c r="H30" s="10">
        <f>CREDITS!I30</f>
        <v>0</v>
      </c>
      <c r="I30" s="10"/>
      <c r="J30" s="10"/>
    </row>
    <row r="31" spans="1:10" ht="18" customHeight="1" thickBot="1">
      <c r="A31" s="10" t="str">
        <f>CREDITS!A31</f>
        <v>Sep 2021- Aug 2022: Semester 1 (202210)</v>
      </c>
      <c r="B31" s="44">
        <v>1</v>
      </c>
      <c r="C31" s="50">
        <f>CREDITS!F31</f>
        <v>0</v>
      </c>
      <c r="D31" s="14">
        <f t="shared" si="0"/>
        <v>0</v>
      </c>
      <c r="E31" s="14"/>
      <c r="F31" s="10"/>
      <c r="G31" s="10">
        <f>CREDITS!G31</f>
        <v>0</v>
      </c>
      <c r="H31" s="10">
        <f>CREDITS!I31</f>
        <v>0</v>
      </c>
      <c r="I31" s="10"/>
      <c r="J31" s="10"/>
    </row>
    <row r="32" spans="1:10" ht="16.5" customHeight="1" thickBot="1">
      <c r="A32" s="10" t="str">
        <f>CREDITS!A32</f>
        <v>Sep 2021- Aug 2022: Semester 2 (202220)</v>
      </c>
      <c r="B32" s="44">
        <v>1</v>
      </c>
      <c r="C32" s="50">
        <f>CREDITS!F32</f>
        <v>0</v>
      </c>
      <c r="D32" s="14">
        <f t="shared" si="0"/>
        <v>0</v>
      </c>
      <c r="E32" s="14"/>
      <c r="F32" s="10"/>
      <c r="G32" s="10">
        <f>CREDITS!G32</f>
        <v>0</v>
      </c>
      <c r="H32" s="10">
        <f>CREDITS!I32</f>
        <v>0</v>
      </c>
      <c r="I32" s="10"/>
      <c r="J32" s="10"/>
    </row>
    <row r="33" spans="1:10" ht="19.5" thickBot="1">
      <c r="A33" s="2" t="s">
        <v>0</v>
      </c>
      <c r="B33" s="2"/>
      <c r="C33" s="2">
        <f>CREDITS!F33</f>
        <v>9000</v>
      </c>
      <c r="D33" s="2"/>
      <c r="E33" s="9"/>
      <c r="F33" s="3"/>
      <c r="G33" s="3">
        <f>CREDITS!G33</f>
        <v>9000</v>
      </c>
      <c r="H33" s="3">
        <f>CREDITS!I33</f>
        <v>0</v>
      </c>
      <c r="I33" s="3"/>
      <c r="J33" s="3"/>
    </row>
    <row r="35" spans="1:10">
      <c r="A35" s="7"/>
    </row>
    <row r="36" spans="1:10" ht="15.75">
      <c r="A36" s="29" t="str">
        <f>CREDITS!$A$36</f>
        <v>Confirmed By: CMBirwar 2nd June 2022</v>
      </c>
    </row>
  </sheetData>
  <autoFilter ref="A9:E9"/>
  <mergeCells count="1">
    <mergeCell ref="A7:F7"/>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Status!$A$4:$A$17</xm:f>
          </x14:formula1>
          <xm:sqref>F10:F32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G36"/>
  <sheetViews>
    <sheetView topLeftCell="A4" zoomScaleNormal="100" workbookViewId="0">
      <pane ySplit="6" topLeftCell="A22" activePane="bottomLeft" state="frozen"/>
      <selection activeCell="A4" sqref="A4"/>
      <selection pane="bottomLeft" activeCell="A9" sqref="A9"/>
    </sheetView>
  </sheetViews>
  <sheetFormatPr defaultRowHeight="15"/>
  <cols>
    <col min="1" max="1" width="41.7109375" customWidth="1"/>
    <col min="2" max="2" width="15.42578125" bestFit="1" customWidth="1"/>
    <col min="3" max="3" width="24.42578125" customWidth="1"/>
    <col min="4" max="6" width="18.85546875" customWidth="1"/>
    <col min="7" max="7" width="17" customWidth="1"/>
  </cols>
  <sheetData>
    <row r="6" spans="1:7">
      <c r="G6" s="1"/>
    </row>
    <row r="7" spans="1:7" ht="36">
      <c r="A7" s="63" t="s">
        <v>51</v>
      </c>
      <c r="B7" s="63"/>
      <c r="C7" s="63"/>
      <c r="D7" s="63"/>
      <c r="E7" s="63"/>
      <c r="F7" s="63"/>
      <c r="G7" s="63"/>
    </row>
    <row r="8" spans="1:7" ht="36.75" thickBot="1">
      <c r="A8" s="36" t="str">
        <f>CREDITS!$A$8</f>
        <v>00047930 Mitchell, Shantel N.</v>
      </c>
      <c r="B8" s="41"/>
      <c r="C8" s="51"/>
      <c r="D8" s="41"/>
      <c r="E8" s="41"/>
      <c r="F8" s="41"/>
      <c r="G8" s="41"/>
    </row>
    <row r="9" spans="1:7" ht="48" thickBot="1">
      <c r="A9" s="26" t="s">
        <v>1</v>
      </c>
      <c r="B9" s="27" t="s">
        <v>48</v>
      </c>
      <c r="C9" s="27" t="str">
        <f>GATE!D9</f>
        <v xml:space="preserve">GATE CONTRIBUTION </v>
      </c>
      <c r="D9" s="27" t="s">
        <v>9</v>
      </c>
      <c r="E9" s="27" t="s">
        <v>45</v>
      </c>
      <c r="F9" s="27"/>
      <c r="G9" s="27"/>
    </row>
    <row r="10" spans="1:7" ht="16.5" thickBot="1">
      <c r="A10" s="10" t="str">
        <f>CREDITS!A10</f>
        <v>Sep 2011-Aug 2012: Semester 1 (201210)</v>
      </c>
      <c r="B10" s="45">
        <f>CREDITS!F10</f>
        <v>1800</v>
      </c>
      <c r="C10" s="45">
        <f>GATE!D10</f>
        <v>1800</v>
      </c>
      <c r="D10" s="45"/>
      <c r="E10" s="42"/>
      <c r="F10" s="11"/>
      <c r="G10" s="10"/>
    </row>
    <row r="11" spans="1:7" ht="16.5" thickBot="1">
      <c r="A11" s="10" t="str">
        <f>CREDITS!A11</f>
        <v>Sep 2011-Aug 2012: Semester 2 (201220)</v>
      </c>
      <c r="B11" s="45">
        <f>CREDITS!F11</f>
        <v>2700</v>
      </c>
      <c r="C11" s="45">
        <f>GATE!D11</f>
        <v>2700</v>
      </c>
      <c r="D11" s="45"/>
      <c r="E11" s="45"/>
      <c r="F11" s="11"/>
      <c r="G11" s="10"/>
    </row>
    <row r="12" spans="1:7" ht="16.5" thickBot="1">
      <c r="A12" s="10" t="str">
        <f>CREDITS!A12</f>
        <v>Sep 2012-Aug 2013: Semester 1 (201310)</v>
      </c>
      <c r="B12" s="45">
        <f>CREDITS!F12</f>
        <v>1800</v>
      </c>
      <c r="C12" s="45">
        <f>GATE!D12</f>
        <v>0</v>
      </c>
      <c r="D12" s="45"/>
      <c r="E12" s="45"/>
      <c r="F12" s="11"/>
      <c r="G12" s="10"/>
    </row>
    <row r="13" spans="1:7" ht="16.5" thickBot="1">
      <c r="A13" s="10" t="str">
        <f>CREDITS!A13</f>
        <v>Sep 2012-Aug 2013: Semester 2 (201320)</v>
      </c>
      <c r="B13" s="45">
        <f>CREDITS!F13</f>
        <v>0</v>
      </c>
      <c r="C13" s="45">
        <f>GATE!D13</f>
        <v>0</v>
      </c>
      <c r="D13" s="45"/>
      <c r="E13" s="45"/>
      <c r="F13" s="11"/>
      <c r="G13" s="10"/>
    </row>
    <row r="14" spans="1:7" ht="16.5" thickBot="1">
      <c r="A14" s="10" t="str">
        <f>CREDITS!A14</f>
        <v>Sep 2013- Aug 2014: Semester 1 (201410)</v>
      </c>
      <c r="B14" s="45">
        <f>CREDITS!F14</f>
        <v>2700</v>
      </c>
      <c r="C14" s="45">
        <f>GATE!D14</f>
        <v>0</v>
      </c>
      <c r="D14" s="45"/>
      <c r="E14" s="45"/>
      <c r="F14" s="11"/>
      <c r="G14" s="10"/>
    </row>
    <row r="15" spans="1:7" ht="16.5" thickBot="1">
      <c r="A15" s="10" t="str">
        <f>CREDITS!A15</f>
        <v>Sep 2015- Aug 2016: Semester 1 (201610)</v>
      </c>
      <c r="B15" s="45">
        <f>CREDITS!F15</f>
        <v>0</v>
      </c>
      <c r="C15" s="45">
        <f>GATE!D15</f>
        <v>0</v>
      </c>
      <c r="D15" s="45"/>
      <c r="E15" s="45"/>
      <c r="F15" s="11"/>
      <c r="G15" s="10"/>
    </row>
    <row r="16" spans="1:7" ht="16.5" thickBot="1">
      <c r="A16" s="10" t="str">
        <f>CREDITS!A16</f>
        <v>Sep 2015- Aug 2016: Semester 2 (201620)</v>
      </c>
      <c r="B16" s="45">
        <f>CREDITS!F16</f>
        <v>0</v>
      </c>
      <c r="C16" s="45">
        <f>GATE!D16</f>
        <v>0</v>
      </c>
      <c r="D16" s="45"/>
      <c r="E16" s="45"/>
      <c r="F16" s="11"/>
      <c r="G16" s="10"/>
    </row>
    <row r="17" spans="1:7" ht="16.5" thickBot="1">
      <c r="A17" s="10" t="str">
        <f>CREDITS!A17</f>
        <v>Sep 2015- Aug 2016: Semester 3 (201630)</v>
      </c>
      <c r="B17" s="45">
        <f>CREDITS!F17</f>
        <v>0</v>
      </c>
      <c r="C17" s="45">
        <f>GATE!D17</f>
        <v>0</v>
      </c>
      <c r="D17" s="45"/>
      <c r="E17" s="45"/>
      <c r="F17" s="11"/>
      <c r="G17" s="10"/>
    </row>
    <row r="18" spans="1:7" ht="16.5" thickBot="1">
      <c r="A18" s="10" t="str">
        <f>CREDITS!A18</f>
        <v>Sep 2016- Aug 2017: Semester 1 (201710)</v>
      </c>
      <c r="B18" s="45">
        <f>CREDITS!F18</f>
        <v>0</v>
      </c>
      <c r="C18" s="45">
        <f>GATE!D18</f>
        <v>0</v>
      </c>
      <c r="D18" s="45"/>
      <c r="E18" s="45"/>
      <c r="F18" s="11"/>
      <c r="G18" s="10"/>
    </row>
    <row r="19" spans="1:7" ht="16.5" thickBot="1">
      <c r="A19" s="10" t="str">
        <f>CREDITS!A19</f>
        <v>Sep 2016- Aug 2017: Semester 2 (201720)</v>
      </c>
      <c r="B19" s="45">
        <f>CREDITS!F19</f>
        <v>0</v>
      </c>
      <c r="C19" s="45">
        <f>GATE!D19</f>
        <v>0</v>
      </c>
      <c r="D19" s="45"/>
      <c r="E19" s="45"/>
      <c r="F19" s="11"/>
      <c r="G19" s="10"/>
    </row>
    <row r="20" spans="1:7" ht="16.5" thickBot="1">
      <c r="A20" s="10" t="str">
        <f>CREDITS!A20</f>
        <v>Sep 2016- Aug 2017: Semester 3 (201730)</v>
      </c>
      <c r="B20" s="45">
        <f>CREDITS!F20</f>
        <v>0</v>
      </c>
      <c r="C20" s="45">
        <f>GATE!D20</f>
        <v>0</v>
      </c>
      <c r="D20" s="45"/>
      <c r="E20" s="45"/>
      <c r="F20" s="11"/>
      <c r="G20" s="10"/>
    </row>
    <row r="21" spans="1:7" ht="16.5" thickBot="1">
      <c r="A21" s="10" t="str">
        <f>CREDITS!A21</f>
        <v>Sep 2017- Aug 2018: Semester 1 (201810)</v>
      </c>
      <c r="B21" s="45">
        <f>CREDITS!F21</f>
        <v>0</v>
      </c>
      <c r="C21" s="45">
        <f>GATE!D21</f>
        <v>0</v>
      </c>
      <c r="D21" s="45"/>
      <c r="E21" s="45"/>
      <c r="F21" s="11"/>
      <c r="G21" s="10"/>
    </row>
    <row r="22" spans="1:7" ht="16.5" thickBot="1">
      <c r="A22" s="10" t="str">
        <f>CREDITS!A22</f>
        <v>Sep 2017- Aug 2018: Semester 2 (201820)</v>
      </c>
      <c r="B22" s="45">
        <f>CREDITS!F22</f>
        <v>0</v>
      </c>
      <c r="C22" s="45">
        <f>GATE!D22</f>
        <v>0</v>
      </c>
      <c r="D22" s="45"/>
      <c r="E22" s="45"/>
      <c r="F22" s="11"/>
      <c r="G22" s="10"/>
    </row>
    <row r="23" spans="1:7" ht="16.5" thickBot="1">
      <c r="A23" s="10" t="str">
        <f>CREDITS!A23</f>
        <v>Sep 2017- Aug 2018: Semester 3 (201830)</v>
      </c>
      <c r="B23" s="45">
        <f>CREDITS!F23</f>
        <v>0</v>
      </c>
      <c r="C23" s="45">
        <f>GATE!D23</f>
        <v>0</v>
      </c>
      <c r="D23" s="45"/>
      <c r="E23" s="45"/>
      <c r="F23" s="11"/>
      <c r="G23" s="10"/>
    </row>
    <row r="24" spans="1:7" ht="16.5" thickBot="1">
      <c r="A24" s="10" t="str">
        <f>CREDITS!A24</f>
        <v>Sep 2018- Aug 2019: Semester 1 (201910)</v>
      </c>
      <c r="B24" s="45">
        <f>CREDITS!F24</f>
        <v>0</v>
      </c>
      <c r="C24" s="45">
        <f>GATE!D24</f>
        <v>0</v>
      </c>
      <c r="D24" s="45"/>
      <c r="E24" s="45"/>
      <c r="F24" s="11"/>
      <c r="G24" s="10"/>
    </row>
    <row r="25" spans="1:7" ht="16.5" thickBot="1">
      <c r="A25" s="10" t="str">
        <f>CREDITS!A25</f>
        <v>Sep 2018- Aug 2019: Semester 2 (201920)</v>
      </c>
      <c r="B25" s="45">
        <f>CREDITS!F25</f>
        <v>0</v>
      </c>
      <c r="C25" s="45">
        <f>GATE!D25</f>
        <v>0</v>
      </c>
      <c r="D25" s="45"/>
      <c r="E25" s="45"/>
      <c r="F25" s="11"/>
      <c r="G25" s="10"/>
    </row>
    <row r="26" spans="1:7" ht="16.5" thickBot="1">
      <c r="A26" s="10" t="str">
        <f>CREDITS!A26</f>
        <v>Sep 2018- Aug 2019: Semester 3 (201930)</v>
      </c>
      <c r="B26" s="45">
        <f>CREDITS!F26</f>
        <v>0</v>
      </c>
      <c r="C26" s="45">
        <f>GATE!D26</f>
        <v>0</v>
      </c>
      <c r="D26" s="45"/>
      <c r="E26" s="45"/>
      <c r="F26" s="11"/>
      <c r="G26" s="10"/>
    </row>
    <row r="27" spans="1:7" ht="16.5" thickBot="1">
      <c r="A27" s="10" t="str">
        <f>CREDITS!A27</f>
        <v>Sep 2019- Aug 2020: Semester 1 (202010)</v>
      </c>
      <c r="B27" s="45">
        <f>CREDITS!F27</f>
        <v>0</v>
      </c>
      <c r="C27" s="45">
        <f>GATE!D27</f>
        <v>0</v>
      </c>
      <c r="D27" s="45"/>
      <c r="E27" s="45"/>
      <c r="F27" s="11"/>
      <c r="G27" s="10"/>
    </row>
    <row r="28" spans="1:7" ht="16.5" thickBot="1">
      <c r="A28" s="10" t="str">
        <f>CREDITS!A28</f>
        <v>Sep 2019- Aug 2020: Semester 2 (202020)</v>
      </c>
      <c r="B28" s="45">
        <f>CREDITS!F28</f>
        <v>0</v>
      </c>
      <c r="C28" s="45">
        <f>GATE!D28</f>
        <v>0</v>
      </c>
      <c r="D28" s="45"/>
      <c r="E28" s="45"/>
      <c r="F28" s="11"/>
      <c r="G28" s="10"/>
    </row>
    <row r="29" spans="1:7" ht="21" customHeight="1" thickBot="1">
      <c r="A29" s="10" t="str">
        <f>CREDITS!A29</f>
        <v>Sep 2020- Aug 2021: Semester 1 (202110)</v>
      </c>
      <c r="B29" s="45">
        <f>CREDITS!F29</f>
        <v>0</v>
      </c>
      <c r="C29" s="45">
        <f>GATE!D29</f>
        <v>0</v>
      </c>
      <c r="D29" s="45"/>
      <c r="E29" s="45"/>
      <c r="F29" s="11"/>
      <c r="G29" s="10"/>
    </row>
    <row r="30" spans="1:7" ht="21" customHeight="1" thickBot="1">
      <c r="A30" s="10" t="str">
        <f>CREDITS!A30</f>
        <v>Sep 2020- Aug 2021: Semester 2 (202120)</v>
      </c>
      <c r="B30" s="45">
        <f>CREDITS!F30</f>
        <v>0</v>
      </c>
      <c r="C30" s="45">
        <f>GATE!D30</f>
        <v>0</v>
      </c>
      <c r="D30" s="45"/>
      <c r="E30" s="45"/>
      <c r="F30" s="11"/>
      <c r="G30" s="10"/>
    </row>
    <row r="31" spans="1:7" ht="21" customHeight="1" thickBot="1">
      <c r="A31" s="10" t="str">
        <f>CREDITS!A31</f>
        <v>Sep 2021- Aug 2022: Semester 1 (202210)</v>
      </c>
      <c r="B31" s="45">
        <f>CREDITS!F31</f>
        <v>0</v>
      </c>
      <c r="C31" s="45">
        <f>GATE!D31</f>
        <v>0</v>
      </c>
      <c r="D31" s="45"/>
      <c r="E31" s="45"/>
      <c r="F31" s="11"/>
      <c r="G31" s="10"/>
    </row>
    <row r="32" spans="1:7" ht="21" customHeight="1" thickBot="1">
      <c r="A32" s="10" t="str">
        <f>CREDITS!A32</f>
        <v>Sep 2021- Aug 2022: Semester 2 (202220)</v>
      </c>
      <c r="B32" s="45">
        <f>CREDITS!F32</f>
        <v>0</v>
      </c>
      <c r="C32" s="45">
        <f>GATE!D32</f>
        <v>0</v>
      </c>
      <c r="D32" s="45"/>
      <c r="E32" s="45"/>
      <c r="F32" s="11"/>
      <c r="G32" s="10"/>
    </row>
    <row r="33" spans="1:7" ht="21" customHeight="1" thickBot="1">
      <c r="A33" s="2" t="s">
        <v>0</v>
      </c>
      <c r="B33" s="46">
        <f>CREDITS!F33</f>
        <v>9000</v>
      </c>
      <c r="C33" s="46"/>
      <c r="D33" s="46"/>
      <c r="E33" s="46"/>
      <c r="F33" s="2"/>
      <c r="G33" s="3">
        <f>'QUICK GRID'!L26</f>
        <v>0</v>
      </c>
    </row>
    <row r="35" spans="1:7">
      <c r="A35" s="7"/>
    </row>
    <row r="36" spans="1:7" ht="15.75">
      <c r="A36" s="29" t="str">
        <f>CREDITS!$A$36</f>
        <v>Confirmed By: CMBirwar 2nd June 2022</v>
      </c>
    </row>
  </sheetData>
  <autoFilter ref="A9:E9"/>
  <mergeCells count="1">
    <mergeCell ref="A7:G7"/>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E37"/>
  <sheetViews>
    <sheetView topLeftCell="A8" zoomScale="85" zoomScaleNormal="85" workbookViewId="0">
      <pane ySplit="2" topLeftCell="A10" activePane="bottomLeft" state="frozen"/>
      <selection activeCell="A8" sqref="A8"/>
      <selection pane="bottomLeft" activeCell="C40" sqref="C40"/>
    </sheetView>
  </sheetViews>
  <sheetFormatPr defaultRowHeight="15"/>
  <cols>
    <col min="1" max="1" width="41.7109375" customWidth="1"/>
    <col min="2" max="2" width="12.7109375" customWidth="1"/>
    <col min="3" max="3" width="16.85546875" customWidth="1"/>
    <col min="4" max="4" width="28" customWidth="1"/>
    <col min="5" max="5" width="37.140625" customWidth="1"/>
    <col min="6" max="6" width="23.5703125" customWidth="1"/>
    <col min="7" max="7" width="37.85546875" customWidth="1"/>
  </cols>
  <sheetData>
    <row r="6" spans="1:5">
      <c r="D6" s="1"/>
    </row>
    <row r="7" spans="1:5" ht="36">
      <c r="A7" s="63" t="s">
        <v>2</v>
      </c>
      <c r="B7" s="63"/>
      <c r="C7" s="63"/>
      <c r="D7" s="63"/>
    </row>
    <row r="8" spans="1:5" ht="36.75" thickBot="1">
      <c r="A8" s="62" t="str">
        <f>CREDITS!$A$8</f>
        <v>00047930 Mitchell, Shantel N.</v>
      </c>
      <c r="B8" s="62"/>
      <c r="C8" s="41"/>
      <c r="D8" s="41"/>
    </row>
    <row r="9" spans="1:5" ht="32.25" thickBot="1">
      <c r="A9" s="26" t="s">
        <v>1</v>
      </c>
      <c r="B9" s="27" t="s">
        <v>21</v>
      </c>
      <c r="C9" s="27" t="s">
        <v>22</v>
      </c>
      <c r="D9" s="43" t="s">
        <v>54</v>
      </c>
      <c r="E9" s="54" t="s">
        <v>56</v>
      </c>
    </row>
    <row r="10" spans="1:5" ht="21" customHeight="1" thickBot="1">
      <c r="A10" s="10" t="str">
        <f>CREDITS!A10</f>
        <v>Sep 2011-Aug 2012: Semester 1 (201210)</v>
      </c>
      <c r="B10" s="11">
        <f>'QUICK GRID'!M3</f>
        <v>0</v>
      </c>
      <c r="C10" s="11">
        <f>'QUICK GRID'!N3</f>
        <v>0</v>
      </c>
      <c r="D10" s="52" t="str">
        <f>GATE!F10</f>
        <v>Finance Approved</v>
      </c>
      <c r="E10" s="56"/>
    </row>
    <row r="11" spans="1:5" ht="21" customHeight="1" thickBot="1">
      <c r="A11" s="10" t="str">
        <f>CREDITS!A11</f>
        <v>Sep 2011-Aug 2012: Semester 2 (201220)</v>
      </c>
      <c r="B11" s="11">
        <f>'QUICK GRID'!M4</f>
        <v>0</v>
      </c>
      <c r="C11" s="11">
        <f>'QUICK GRID'!N4</f>
        <v>0</v>
      </c>
      <c r="D11" s="52" t="str">
        <f>GATE!F11</f>
        <v>Finance Approved</v>
      </c>
      <c r="E11" s="56"/>
    </row>
    <row r="12" spans="1:5" ht="21" customHeight="1" thickBot="1">
      <c r="A12" s="10" t="str">
        <f>CREDITS!A12</f>
        <v>Sep 2012-Aug 2013: Semester 1 (201310)</v>
      </c>
      <c r="B12" s="11">
        <f>'QUICK GRID'!M5</f>
        <v>0</v>
      </c>
      <c r="C12" s="11">
        <f>'QUICK GRID'!N5</f>
        <v>1800</v>
      </c>
      <c r="D12" s="52" t="str">
        <f>GATE!F12</f>
        <v>Payment Required</v>
      </c>
      <c r="E12" s="56" t="s">
        <v>66</v>
      </c>
    </row>
    <row r="13" spans="1:5" ht="21" customHeight="1" thickBot="1">
      <c r="A13" s="10" t="str">
        <f>CREDITS!A13</f>
        <v>Sep 2012-Aug 2013: Semester 2 (201320)</v>
      </c>
      <c r="B13" s="11">
        <f>'QUICK GRID'!M6</f>
        <v>0</v>
      </c>
      <c r="C13" s="11">
        <f>'QUICK GRID'!N6</f>
        <v>0</v>
      </c>
      <c r="D13" s="52">
        <f>GATE!F13</f>
        <v>0</v>
      </c>
      <c r="E13" s="56"/>
    </row>
    <row r="14" spans="1:5" ht="21" customHeight="1" thickBot="1">
      <c r="A14" s="10" t="str">
        <f>CREDITS!A14</f>
        <v>Sep 2013- Aug 2014: Semester 1 (201410)</v>
      </c>
      <c r="B14" s="11">
        <f>'QUICK GRID'!M7</f>
        <v>0</v>
      </c>
      <c r="C14" s="11">
        <f>'QUICK GRID'!N7</f>
        <v>2700</v>
      </c>
      <c r="D14" s="52" t="str">
        <f>GATE!F14</f>
        <v>Payment Required</v>
      </c>
      <c r="E14" s="56" t="s">
        <v>66</v>
      </c>
    </row>
    <row r="15" spans="1:5" ht="21" hidden="1" customHeight="1" thickBot="1">
      <c r="A15" s="10" t="str">
        <f>CREDITS!A15</f>
        <v>Sep 2015- Aug 2016: Semester 1 (201610)</v>
      </c>
      <c r="B15" s="11">
        <f>'QUICK GRID'!M8</f>
        <v>0</v>
      </c>
      <c r="C15" s="11">
        <f>'QUICK GRID'!N8</f>
        <v>0</v>
      </c>
      <c r="D15" s="52">
        <f>GATE!F15</f>
        <v>0</v>
      </c>
      <c r="E15" s="56"/>
    </row>
    <row r="16" spans="1:5" ht="21" hidden="1" customHeight="1" thickBot="1">
      <c r="A16" s="10" t="str">
        <f>CREDITS!A16</f>
        <v>Sep 2015- Aug 2016: Semester 2 (201620)</v>
      </c>
      <c r="B16" s="11">
        <f>'QUICK GRID'!M9</f>
        <v>0</v>
      </c>
      <c r="C16" s="11">
        <f>'QUICK GRID'!N9</f>
        <v>0</v>
      </c>
      <c r="D16" s="52">
        <f>GATE!F16</f>
        <v>0</v>
      </c>
      <c r="E16" s="56"/>
    </row>
    <row r="17" spans="1:5" ht="21" hidden="1" customHeight="1" thickBot="1">
      <c r="A17" s="10" t="str">
        <f>CREDITS!A17</f>
        <v>Sep 2015- Aug 2016: Semester 3 (201630)</v>
      </c>
      <c r="B17" s="11">
        <f>'QUICK GRID'!M10</f>
        <v>0</v>
      </c>
      <c r="C17" s="11">
        <f>'QUICK GRID'!N10</f>
        <v>0</v>
      </c>
      <c r="D17" s="52">
        <f>GATE!F17</f>
        <v>0</v>
      </c>
      <c r="E17" s="56"/>
    </row>
    <row r="18" spans="1:5" ht="21" hidden="1" customHeight="1" thickBot="1">
      <c r="A18" s="10" t="str">
        <f>CREDITS!A18</f>
        <v>Sep 2016- Aug 2017: Semester 1 (201710)</v>
      </c>
      <c r="B18" s="11">
        <f>'QUICK GRID'!M11</f>
        <v>0</v>
      </c>
      <c r="C18" s="11">
        <f>'QUICK GRID'!N11</f>
        <v>0</v>
      </c>
      <c r="D18" s="52">
        <f>GATE!F18</f>
        <v>0</v>
      </c>
      <c r="E18" s="56"/>
    </row>
    <row r="19" spans="1:5" ht="21" hidden="1" customHeight="1" thickBot="1">
      <c r="A19" s="10" t="str">
        <f>CREDITS!A19</f>
        <v>Sep 2016- Aug 2017: Semester 2 (201720)</v>
      </c>
      <c r="B19" s="11">
        <f>'QUICK GRID'!M12</f>
        <v>0</v>
      </c>
      <c r="C19" s="11">
        <f>'QUICK GRID'!N12</f>
        <v>0</v>
      </c>
      <c r="D19" s="52">
        <f>GATE!F19</f>
        <v>0</v>
      </c>
      <c r="E19" s="56"/>
    </row>
    <row r="20" spans="1:5" ht="21" hidden="1" customHeight="1" thickBot="1">
      <c r="A20" s="10" t="str">
        <f>CREDITS!A20</f>
        <v>Sep 2016- Aug 2017: Semester 3 (201730)</v>
      </c>
      <c r="B20" s="11">
        <f>'QUICK GRID'!M13</f>
        <v>0</v>
      </c>
      <c r="C20" s="11">
        <f>'QUICK GRID'!N13</f>
        <v>0</v>
      </c>
      <c r="D20" s="52">
        <f>GATE!F20</f>
        <v>0</v>
      </c>
      <c r="E20" s="56"/>
    </row>
    <row r="21" spans="1:5" ht="21" hidden="1" customHeight="1" thickBot="1">
      <c r="A21" s="10" t="str">
        <f>CREDITS!A21</f>
        <v>Sep 2017- Aug 2018: Semester 1 (201810)</v>
      </c>
      <c r="B21" s="11">
        <f>'QUICK GRID'!M14</f>
        <v>0</v>
      </c>
      <c r="C21" s="59">
        <f>'QUICK GRID'!N14</f>
        <v>0</v>
      </c>
      <c r="D21" s="60">
        <f>GATE!F21</f>
        <v>0</v>
      </c>
      <c r="E21" s="61"/>
    </row>
    <row r="22" spans="1:5" ht="21" hidden="1" customHeight="1" thickBot="1">
      <c r="A22" s="10" t="str">
        <f>CREDITS!A22</f>
        <v>Sep 2017- Aug 2018: Semester 2 (201820)</v>
      </c>
      <c r="B22" s="11">
        <f>'QUICK GRID'!M15</f>
        <v>0</v>
      </c>
      <c r="C22" s="59">
        <f>'QUICK GRID'!N15</f>
        <v>0</v>
      </c>
      <c r="D22" s="60">
        <f>GATE!F22</f>
        <v>0</v>
      </c>
      <c r="E22" s="61"/>
    </row>
    <row r="23" spans="1:5" ht="21" hidden="1" customHeight="1" thickBot="1">
      <c r="A23" s="10" t="str">
        <f>CREDITS!A23</f>
        <v>Sep 2017- Aug 2018: Semester 3 (201830)</v>
      </c>
      <c r="B23" s="11">
        <f>'QUICK GRID'!M16</f>
        <v>0</v>
      </c>
      <c r="C23" s="59">
        <f>'QUICK GRID'!N16</f>
        <v>0</v>
      </c>
      <c r="D23" s="60">
        <f>GATE!F23</f>
        <v>0</v>
      </c>
      <c r="E23" s="61"/>
    </row>
    <row r="24" spans="1:5" ht="21" hidden="1" customHeight="1" thickBot="1">
      <c r="A24" s="10" t="str">
        <f>CREDITS!A24</f>
        <v>Sep 2018- Aug 2019: Semester 1 (201910)</v>
      </c>
      <c r="B24" s="11">
        <f>'QUICK GRID'!M17</f>
        <v>0</v>
      </c>
      <c r="C24" s="59">
        <f>'QUICK GRID'!N17</f>
        <v>0</v>
      </c>
      <c r="D24" s="60">
        <f>GATE!F24</f>
        <v>0</v>
      </c>
      <c r="E24" s="61"/>
    </row>
    <row r="25" spans="1:5" ht="21" hidden="1" customHeight="1" thickBot="1">
      <c r="A25" s="10" t="str">
        <f>CREDITS!A25</f>
        <v>Sep 2018- Aug 2019: Semester 2 (201920)</v>
      </c>
      <c r="B25" s="11">
        <f>'QUICK GRID'!M18</f>
        <v>0</v>
      </c>
      <c r="C25" s="59">
        <f>'QUICK GRID'!N18</f>
        <v>0</v>
      </c>
      <c r="D25" s="60">
        <f>GATE!F25</f>
        <v>0</v>
      </c>
      <c r="E25" s="61"/>
    </row>
    <row r="26" spans="1:5" ht="36.75" hidden="1" customHeight="1" thickBot="1">
      <c r="A26" s="10" t="str">
        <f>CREDITS!A26</f>
        <v>Sep 2018- Aug 2019: Semester 3 (201930)</v>
      </c>
      <c r="B26" s="11">
        <f>'QUICK GRID'!M19</f>
        <v>0</v>
      </c>
      <c r="C26" s="59">
        <f>'QUICK GRID'!N19</f>
        <v>0</v>
      </c>
      <c r="D26" s="60">
        <f>GATE!F26</f>
        <v>0</v>
      </c>
      <c r="E26" s="61"/>
    </row>
    <row r="27" spans="1:5" ht="21" hidden="1" customHeight="1" thickBot="1">
      <c r="A27" s="10" t="str">
        <f>CREDITS!A27</f>
        <v>Sep 2019- Aug 2020: Semester 1 (202010)</v>
      </c>
      <c r="B27" s="11">
        <f>'QUICK GRID'!M20</f>
        <v>0</v>
      </c>
      <c r="C27" s="59">
        <f>'QUICK GRID'!N20</f>
        <v>0</v>
      </c>
      <c r="D27" s="60">
        <f>GATE!F27</f>
        <v>0</v>
      </c>
      <c r="E27" s="61"/>
    </row>
    <row r="28" spans="1:5" ht="44.25" hidden="1" customHeight="1" thickBot="1">
      <c r="A28" s="10" t="str">
        <f>CREDITS!A28</f>
        <v>Sep 2019- Aug 2020: Semester 2 (202020)</v>
      </c>
      <c r="B28" s="11">
        <f>'QUICK GRID'!M21</f>
        <v>0</v>
      </c>
      <c r="C28" s="59">
        <f>'QUICK GRID'!N21</f>
        <v>0</v>
      </c>
      <c r="D28" s="60">
        <f>GATE!F28</f>
        <v>0</v>
      </c>
      <c r="E28" s="61"/>
    </row>
    <row r="29" spans="1:5" ht="54.75" hidden="1" customHeight="1" thickBot="1">
      <c r="A29" s="10" t="str">
        <f>CREDITS!A29</f>
        <v>Sep 2020- Aug 2021: Semester 1 (202110)</v>
      </c>
      <c r="B29" s="11">
        <f>'QUICK GRID'!M22</f>
        <v>0</v>
      </c>
      <c r="C29" s="59">
        <f>'QUICK GRID'!N22</f>
        <v>0</v>
      </c>
      <c r="D29" s="60">
        <f>GATE!F29</f>
        <v>0</v>
      </c>
      <c r="E29" s="61"/>
    </row>
    <row r="30" spans="1:5" ht="21" hidden="1" customHeight="1" thickBot="1">
      <c r="A30" s="10" t="str">
        <f>CREDITS!A30</f>
        <v>Sep 2020- Aug 2021: Semester 2 (202120)</v>
      </c>
      <c r="B30" s="11">
        <f>'QUICK GRID'!M23</f>
        <v>0</v>
      </c>
      <c r="C30" s="59">
        <f>'QUICK GRID'!N23</f>
        <v>0</v>
      </c>
      <c r="D30" s="60">
        <f>GATE!F30</f>
        <v>0</v>
      </c>
      <c r="E30" s="61"/>
    </row>
    <row r="31" spans="1:5" ht="21" hidden="1" customHeight="1" thickBot="1">
      <c r="A31" s="10" t="str">
        <f>CREDITS!A31</f>
        <v>Sep 2021- Aug 2022: Semester 1 (202210)</v>
      </c>
      <c r="B31" s="11">
        <f>'QUICK GRID'!M24</f>
        <v>0</v>
      </c>
      <c r="C31" s="59">
        <f>'QUICK GRID'!N24</f>
        <v>0</v>
      </c>
      <c r="D31" s="60">
        <f>GATE!F31</f>
        <v>0</v>
      </c>
      <c r="E31" s="61"/>
    </row>
    <row r="32" spans="1:5" ht="27" hidden="1" customHeight="1" thickBot="1">
      <c r="A32" s="10" t="str">
        <f>CREDITS!A32</f>
        <v>Sep 2021- Aug 2022: Semester 2 (202220)</v>
      </c>
      <c r="B32" s="59">
        <f>'QUICK GRID'!M25</f>
        <v>0</v>
      </c>
      <c r="C32" s="59">
        <f>'QUICK GRID'!N25</f>
        <v>0</v>
      </c>
      <c r="D32" s="60">
        <f>GATE!F32</f>
        <v>0</v>
      </c>
      <c r="E32" s="61"/>
    </row>
    <row r="33" spans="1:5" ht="21" customHeight="1" thickBot="1">
      <c r="A33" s="2" t="s">
        <v>0</v>
      </c>
      <c r="B33" s="2">
        <f>SUM(B10:B32)</f>
        <v>0</v>
      </c>
      <c r="C33" s="2">
        <f>SUM(C10:C32)</f>
        <v>4500</v>
      </c>
      <c r="D33" s="53">
        <f>'QUICK GRID'!L26</f>
        <v>0</v>
      </c>
      <c r="E33" s="55"/>
    </row>
    <row r="35" spans="1:5">
      <c r="A35" s="7"/>
    </row>
    <row r="36" spans="1:5" ht="15.75">
      <c r="A36" s="29" t="str">
        <f>CREDITS!$A$36</f>
        <v>Confirmed By: CMBirwar 2nd June 2022</v>
      </c>
    </row>
    <row r="37" spans="1:5">
      <c r="A37" s="58"/>
    </row>
  </sheetData>
  <autoFilter ref="A9:D9"/>
  <mergeCells count="2">
    <mergeCell ref="A7:D7"/>
    <mergeCell ref="A8:B8"/>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Q27"/>
  <sheetViews>
    <sheetView zoomScaleNormal="100" workbookViewId="0">
      <pane ySplit="2" topLeftCell="A12" activePane="bottomLeft" state="frozen"/>
      <selection pane="bottomLeft" activeCell="D29" sqref="D29"/>
    </sheetView>
  </sheetViews>
  <sheetFormatPr defaultRowHeight="15"/>
  <cols>
    <col min="1" max="1" width="48.5703125" customWidth="1"/>
    <col min="2" max="2" width="9" customWidth="1"/>
    <col min="3" max="3" width="13.5703125" customWidth="1"/>
    <col min="4" max="4" width="10.7109375" customWidth="1"/>
    <col min="5" max="5" width="11" customWidth="1"/>
    <col min="6" max="6" width="8" customWidth="1"/>
    <col min="7" max="7" width="10" customWidth="1"/>
    <col min="8" max="8" width="16" customWidth="1"/>
    <col min="9" max="9" width="11.28515625" customWidth="1"/>
    <col min="10" max="10" width="11.7109375" customWidth="1"/>
    <col min="11" max="11" width="9.7109375" customWidth="1"/>
    <col min="12" max="12" width="19.5703125" customWidth="1"/>
    <col min="13" max="13" width="14.5703125" customWidth="1"/>
    <col min="14" max="14" width="15.140625" customWidth="1"/>
    <col min="15" max="15" width="15.42578125" customWidth="1"/>
    <col min="16" max="16" width="18.140625" customWidth="1"/>
    <col min="17" max="17" width="14.85546875" customWidth="1"/>
  </cols>
  <sheetData>
    <row r="1" spans="1:17" s="13" customFormat="1" ht="19.5" customHeight="1">
      <c r="A1" s="15"/>
      <c r="B1" s="15"/>
      <c r="C1" s="15"/>
      <c r="D1" s="15"/>
      <c r="E1" s="15"/>
      <c r="F1" s="15"/>
      <c r="G1" s="15"/>
      <c r="H1" s="15"/>
      <c r="I1" s="15"/>
      <c r="J1" s="15"/>
      <c r="K1" s="15"/>
      <c r="L1" s="15"/>
      <c r="M1" s="15"/>
      <c r="N1" s="15"/>
      <c r="O1" s="34"/>
    </row>
    <row r="2" spans="1:17" s="18" customFormat="1" ht="78" customHeight="1">
      <c r="A2" s="16" t="s">
        <v>1</v>
      </c>
      <c r="B2" s="17" t="s">
        <v>2</v>
      </c>
      <c r="C2" s="17" t="s">
        <v>46</v>
      </c>
      <c r="D2" s="17" t="s">
        <v>23</v>
      </c>
      <c r="E2" s="17" t="s">
        <v>25</v>
      </c>
      <c r="F2" s="17" t="s">
        <v>24</v>
      </c>
      <c r="G2" s="17" t="s">
        <v>48</v>
      </c>
      <c r="H2" s="17" t="s">
        <v>49</v>
      </c>
      <c r="I2" s="17" t="s">
        <v>50</v>
      </c>
      <c r="J2" s="17" t="s">
        <v>45</v>
      </c>
      <c r="K2" s="17" t="s">
        <v>9</v>
      </c>
      <c r="L2" s="17" t="s">
        <v>17</v>
      </c>
      <c r="M2" s="17" t="s">
        <v>44</v>
      </c>
      <c r="N2" s="17" t="s">
        <v>43</v>
      </c>
      <c r="O2" s="17" t="s">
        <v>47</v>
      </c>
      <c r="P2" s="17" t="s">
        <v>41</v>
      </c>
      <c r="Q2" s="17" t="s">
        <v>42</v>
      </c>
    </row>
    <row r="3" spans="1:17" ht="18.75">
      <c r="A3" s="19" t="str">
        <f>CREDITS!A10</f>
        <v>Sep 2011-Aug 2012: Semester 1 (201210)</v>
      </c>
      <c r="B3" s="20">
        <f>CREDITS!B10</f>
        <v>6</v>
      </c>
      <c r="C3" s="20">
        <f>CREDITS!C10</f>
        <v>6</v>
      </c>
      <c r="D3" s="20">
        <f>CREDITS!D10</f>
        <v>0</v>
      </c>
      <c r="E3" s="20">
        <f>CREDITS!E10</f>
        <v>0</v>
      </c>
      <c r="F3" s="32">
        <f>GATE!B10</f>
        <v>1</v>
      </c>
      <c r="G3" s="20">
        <f>CREDITS!F10</f>
        <v>1800</v>
      </c>
      <c r="H3" s="20">
        <f>GATE!D10</f>
        <v>1800</v>
      </c>
      <c r="I3" s="20">
        <f>GATE!E10</f>
        <v>1800</v>
      </c>
      <c r="J3" s="20">
        <f>BANNER!E10</f>
        <v>0</v>
      </c>
      <c r="K3" s="20">
        <f>BANNER!D10</f>
        <v>0</v>
      </c>
      <c r="L3" s="20"/>
      <c r="M3" s="20">
        <f>H3-I3</f>
        <v>0</v>
      </c>
      <c r="N3" s="25">
        <f>G3-H3-J3+K3</f>
        <v>0</v>
      </c>
      <c r="O3" s="20">
        <f>CREDITS!G10</f>
        <v>1800</v>
      </c>
      <c r="P3" s="20">
        <f>CREDITS!H10</f>
        <v>0</v>
      </c>
      <c r="Q3" s="20">
        <f>CREDITS!I10</f>
        <v>0</v>
      </c>
    </row>
    <row r="4" spans="1:17" ht="18.75">
      <c r="A4" s="23" t="str">
        <f>CREDITS!A11</f>
        <v>Sep 2011-Aug 2012: Semester 2 (201220)</v>
      </c>
      <c r="B4" s="24">
        <f>CREDITS!B11</f>
        <v>9</v>
      </c>
      <c r="C4" s="24">
        <f>CREDITS!C11</f>
        <v>9</v>
      </c>
      <c r="D4" s="24">
        <f>CREDITS!D11</f>
        <v>0</v>
      </c>
      <c r="E4" s="24">
        <f>CREDITS!E11</f>
        <v>0</v>
      </c>
      <c r="F4" s="33">
        <f>GATE!B11</f>
        <v>1</v>
      </c>
      <c r="G4" s="24">
        <f>CREDITS!F11</f>
        <v>2700</v>
      </c>
      <c r="H4" s="24">
        <f>GATE!D11</f>
        <v>2700</v>
      </c>
      <c r="I4" s="24">
        <f>GATE!E11</f>
        <v>2700</v>
      </c>
      <c r="J4" s="24">
        <f>BANNER!E11</f>
        <v>0</v>
      </c>
      <c r="K4" s="24">
        <f>BANNER!D11</f>
        <v>0</v>
      </c>
      <c r="L4" s="24"/>
      <c r="M4" s="24">
        <f t="shared" ref="M4:M24" si="0">H4-I4</f>
        <v>0</v>
      </c>
      <c r="N4" s="35">
        <f t="shared" ref="N4:N24" si="1">G4-H4-J4+K4</f>
        <v>0</v>
      </c>
      <c r="O4" s="24">
        <f>CREDITS!G11</f>
        <v>2700</v>
      </c>
      <c r="P4" s="24">
        <f>CREDITS!H11</f>
        <v>0</v>
      </c>
      <c r="Q4" s="24">
        <f>CREDITS!I11</f>
        <v>0</v>
      </c>
    </row>
    <row r="5" spans="1:17" ht="18.75">
      <c r="A5" s="19" t="str">
        <f>CREDITS!A12</f>
        <v>Sep 2012-Aug 2013: Semester 1 (201310)</v>
      </c>
      <c r="B5" s="20">
        <f>CREDITS!B12</f>
        <v>6</v>
      </c>
      <c r="C5" s="20">
        <f>CREDITS!C12</f>
        <v>6</v>
      </c>
      <c r="D5" s="20">
        <f>CREDITS!D12</f>
        <v>0</v>
      </c>
      <c r="E5" s="20">
        <f>CREDITS!E12</f>
        <v>0</v>
      </c>
      <c r="F5" s="32">
        <f>GATE!B12</f>
        <v>1</v>
      </c>
      <c r="G5" s="20">
        <f>CREDITS!F12</f>
        <v>1800</v>
      </c>
      <c r="H5" s="20">
        <f>GATE!D12</f>
        <v>0</v>
      </c>
      <c r="I5" s="20">
        <f>GATE!E12</f>
        <v>0</v>
      </c>
      <c r="J5" s="20">
        <f>BANNER!E12</f>
        <v>0</v>
      </c>
      <c r="K5" s="20">
        <f>BANNER!D12</f>
        <v>0</v>
      </c>
      <c r="L5" s="20"/>
      <c r="M5" s="20">
        <f t="shared" si="0"/>
        <v>0</v>
      </c>
      <c r="N5" s="25">
        <f t="shared" si="1"/>
        <v>1800</v>
      </c>
      <c r="O5" s="20">
        <f>CREDITS!G12</f>
        <v>1800</v>
      </c>
      <c r="P5" s="20">
        <f>CREDITS!H12</f>
        <v>0</v>
      </c>
      <c r="Q5" s="20">
        <f>CREDITS!I12</f>
        <v>0</v>
      </c>
    </row>
    <row r="6" spans="1:17" ht="18.75">
      <c r="A6" s="23" t="str">
        <f>CREDITS!A13</f>
        <v>Sep 2012-Aug 2013: Semester 2 (201320)</v>
      </c>
      <c r="B6" s="24">
        <f>CREDITS!B13</f>
        <v>0</v>
      </c>
      <c r="C6" s="24">
        <f>CREDITS!C13</f>
        <v>0</v>
      </c>
      <c r="D6" s="24">
        <f>CREDITS!D13</f>
        <v>0</v>
      </c>
      <c r="E6" s="24">
        <f>CREDITS!E13</f>
        <v>0</v>
      </c>
      <c r="F6" s="33">
        <f>GATE!B13</f>
        <v>1</v>
      </c>
      <c r="G6" s="24">
        <f>CREDITS!F13</f>
        <v>0</v>
      </c>
      <c r="H6" s="24">
        <f>GATE!D13</f>
        <v>0</v>
      </c>
      <c r="I6" s="24">
        <f>GATE!E13</f>
        <v>0</v>
      </c>
      <c r="J6" s="24">
        <f>BANNER!E13</f>
        <v>0</v>
      </c>
      <c r="K6" s="24">
        <f>BANNER!D13</f>
        <v>0</v>
      </c>
      <c r="L6" s="24"/>
      <c r="M6" s="24">
        <f t="shared" si="0"/>
        <v>0</v>
      </c>
      <c r="N6" s="35">
        <f t="shared" si="1"/>
        <v>0</v>
      </c>
      <c r="O6" s="24">
        <f>CREDITS!G13</f>
        <v>0</v>
      </c>
      <c r="P6" s="24">
        <f>CREDITS!H13</f>
        <v>0</v>
      </c>
      <c r="Q6" s="24">
        <f>CREDITS!I13</f>
        <v>0</v>
      </c>
    </row>
    <row r="7" spans="1:17" ht="18.75">
      <c r="A7" s="19" t="str">
        <f>CREDITS!A14</f>
        <v>Sep 2013- Aug 2014: Semester 1 (201410)</v>
      </c>
      <c r="B7" s="20">
        <f>CREDITS!B14</f>
        <v>9</v>
      </c>
      <c r="C7" s="20">
        <f>CREDITS!C14</f>
        <v>9</v>
      </c>
      <c r="D7" s="20">
        <f>CREDITS!D14</f>
        <v>0</v>
      </c>
      <c r="E7" s="20">
        <f>CREDITS!E14</f>
        <v>0</v>
      </c>
      <c r="F7" s="32">
        <f>GATE!B14</f>
        <v>1</v>
      </c>
      <c r="G7" s="20">
        <f>CREDITS!F14</f>
        <v>2700</v>
      </c>
      <c r="H7" s="20">
        <f>GATE!D14</f>
        <v>0</v>
      </c>
      <c r="I7" s="20">
        <f>GATE!E14</f>
        <v>0</v>
      </c>
      <c r="J7" s="20">
        <f>BANNER!E14</f>
        <v>0</v>
      </c>
      <c r="K7" s="20">
        <f>BANNER!D14</f>
        <v>0</v>
      </c>
      <c r="L7" s="20"/>
      <c r="M7" s="20">
        <f t="shared" si="0"/>
        <v>0</v>
      </c>
      <c r="N7" s="25">
        <f t="shared" si="1"/>
        <v>2700</v>
      </c>
      <c r="O7" s="20">
        <f>CREDITS!G14</f>
        <v>2700</v>
      </c>
      <c r="P7" s="20">
        <f>CREDITS!H14</f>
        <v>0</v>
      </c>
      <c r="Q7" s="20">
        <f>CREDITS!I14</f>
        <v>0</v>
      </c>
    </row>
    <row r="8" spans="1:17" ht="18.75">
      <c r="A8" s="23" t="str">
        <f>CREDITS!A15</f>
        <v>Sep 2015- Aug 2016: Semester 1 (201610)</v>
      </c>
      <c r="B8" s="24">
        <f>CREDITS!B15</f>
        <v>0</v>
      </c>
      <c r="C8" s="24">
        <f>CREDITS!C15</f>
        <v>0</v>
      </c>
      <c r="D8" s="24">
        <f>CREDITS!D15</f>
        <v>0</v>
      </c>
      <c r="E8" s="24">
        <f>CREDITS!E15</f>
        <v>0</v>
      </c>
      <c r="F8" s="33">
        <f>GATE!B15</f>
        <v>1</v>
      </c>
      <c r="G8" s="24">
        <f>CREDITS!F15</f>
        <v>0</v>
      </c>
      <c r="H8" s="24">
        <f>GATE!D15</f>
        <v>0</v>
      </c>
      <c r="I8" s="24">
        <f>GATE!E15</f>
        <v>0</v>
      </c>
      <c r="J8" s="24">
        <f>BANNER!E15</f>
        <v>0</v>
      </c>
      <c r="K8" s="24">
        <f>BANNER!D15</f>
        <v>0</v>
      </c>
      <c r="L8" s="24"/>
      <c r="M8" s="24">
        <f t="shared" si="0"/>
        <v>0</v>
      </c>
      <c r="N8" s="35">
        <f t="shared" si="1"/>
        <v>0</v>
      </c>
      <c r="O8" s="24">
        <f>CREDITS!G15</f>
        <v>0</v>
      </c>
      <c r="P8" s="24">
        <f>CREDITS!H15</f>
        <v>0</v>
      </c>
      <c r="Q8" s="24">
        <f>CREDITS!I15</f>
        <v>0</v>
      </c>
    </row>
    <row r="9" spans="1:17" ht="18.75">
      <c r="A9" s="19" t="str">
        <f>CREDITS!A16</f>
        <v>Sep 2015- Aug 2016: Semester 2 (201620)</v>
      </c>
      <c r="B9" s="20">
        <f>CREDITS!B16</f>
        <v>0</v>
      </c>
      <c r="C9" s="20">
        <f>CREDITS!C16</f>
        <v>0</v>
      </c>
      <c r="D9" s="20">
        <f>CREDITS!D16</f>
        <v>0</v>
      </c>
      <c r="E9" s="20">
        <f>CREDITS!E16</f>
        <v>0</v>
      </c>
      <c r="F9" s="32">
        <f>GATE!B16</f>
        <v>1</v>
      </c>
      <c r="G9" s="20">
        <f>CREDITS!F16</f>
        <v>0</v>
      </c>
      <c r="H9" s="20">
        <f>GATE!D16</f>
        <v>0</v>
      </c>
      <c r="I9" s="20">
        <f>GATE!E16</f>
        <v>0</v>
      </c>
      <c r="J9" s="20">
        <f>BANNER!E16</f>
        <v>0</v>
      </c>
      <c r="K9" s="20">
        <f>BANNER!D16</f>
        <v>0</v>
      </c>
      <c r="L9" s="20"/>
      <c r="M9" s="20">
        <f t="shared" si="0"/>
        <v>0</v>
      </c>
      <c r="N9" s="25">
        <f t="shared" si="1"/>
        <v>0</v>
      </c>
      <c r="O9" s="20">
        <f>CREDITS!G16</f>
        <v>0</v>
      </c>
      <c r="P9" s="20">
        <f>CREDITS!H16</f>
        <v>0</v>
      </c>
      <c r="Q9" s="20">
        <f>CREDITS!I16</f>
        <v>0</v>
      </c>
    </row>
    <row r="10" spans="1:17" ht="18.75">
      <c r="A10" s="23" t="str">
        <f>CREDITS!A17</f>
        <v>Sep 2015- Aug 2016: Semester 3 (201630)</v>
      </c>
      <c r="B10" s="24">
        <f>CREDITS!B17</f>
        <v>0</v>
      </c>
      <c r="C10" s="24">
        <f>CREDITS!C17</f>
        <v>0</v>
      </c>
      <c r="D10" s="24">
        <f>CREDITS!D17</f>
        <v>0</v>
      </c>
      <c r="E10" s="24">
        <f>CREDITS!E17</f>
        <v>0</v>
      </c>
      <c r="F10" s="33">
        <f>GATE!B17</f>
        <v>1</v>
      </c>
      <c r="G10" s="24">
        <f>CREDITS!F17</f>
        <v>0</v>
      </c>
      <c r="H10" s="24">
        <f>GATE!D17</f>
        <v>0</v>
      </c>
      <c r="I10" s="24">
        <f>GATE!E17</f>
        <v>0</v>
      </c>
      <c r="J10" s="24">
        <f>BANNER!E17</f>
        <v>0</v>
      </c>
      <c r="K10" s="24">
        <f>BANNER!D17</f>
        <v>0</v>
      </c>
      <c r="L10" s="24"/>
      <c r="M10" s="24">
        <f t="shared" si="0"/>
        <v>0</v>
      </c>
      <c r="N10" s="35">
        <f t="shared" si="1"/>
        <v>0</v>
      </c>
      <c r="O10" s="24">
        <f>CREDITS!G17</f>
        <v>0</v>
      </c>
      <c r="P10" s="24">
        <f>CREDITS!H17</f>
        <v>0</v>
      </c>
      <c r="Q10" s="24">
        <f>CREDITS!I17</f>
        <v>0</v>
      </c>
    </row>
    <row r="11" spans="1:17" ht="18.75">
      <c r="A11" s="19" t="str">
        <f>CREDITS!A18</f>
        <v>Sep 2016- Aug 2017: Semester 1 (201710)</v>
      </c>
      <c r="B11" s="20">
        <f>CREDITS!B18</f>
        <v>0</v>
      </c>
      <c r="C11" s="20">
        <f>CREDITS!C18</f>
        <v>0</v>
      </c>
      <c r="D11" s="20">
        <f>CREDITS!D18</f>
        <v>0</v>
      </c>
      <c r="E11" s="20">
        <f>CREDITS!E18</f>
        <v>0</v>
      </c>
      <c r="F11" s="32">
        <f>GATE!B18</f>
        <v>1</v>
      </c>
      <c r="G11" s="20">
        <f>CREDITS!F18</f>
        <v>0</v>
      </c>
      <c r="H11" s="20">
        <f>GATE!D18</f>
        <v>0</v>
      </c>
      <c r="I11" s="20">
        <f>GATE!E18</f>
        <v>0</v>
      </c>
      <c r="J11" s="20">
        <f>BANNER!E18</f>
        <v>0</v>
      </c>
      <c r="K11" s="20">
        <f>BANNER!D18</f>
        <v>0</v>
      </c>
      <c r="L11" s="20"/>
      <c r="M11" s="20">
        <f t="shared" si="0"/>
        <v>0</v>
      </c>
      <c r="N11" s="25">
        <f t="shared" si="1"/>
        <v>0</v>
      </c>
      <c r="O11" s="20">
        <f>CREDITS!G18</f>
        <v>0</v>
      </c>
      <c r="P11" s="20">
        <f>CREDITS!H18</f>
        <v>0</v>
      </c>
      <c r="Q11" s="20">
        <f>CREDITS!I18</f>
        <v>0</v>
      </c>
    </row>
    <row r="12" spans="1:17" ht="18.75">
      <c r="A12" s="23" t="str">
        <f>CREDITS!A19</f>
        <v>Sep 2016- Aug 2017: Semester 2 (201720)</v>
      </c>
      <c r="B12" s="24">
        <f>CREDITS!B19</f>
        <v>0</v>
      </c>
      <c r="C12" s="24">
        <f>CREDITS!C19</f>
        <v>0</v>
      </c>
      <c r="D12" s="24">
        <f>CREDITS!D19</f>
        <v>0</v>
      </c>
      <c r="E12" s="24">
        <f>CREDITS!E19</f>
        <v>0</v>
      </c>
      <c r="F12" s="33">
        <f>GATE!B19</f>
        <v>1</v>
      </c>
      <c r="G12" s="24">
        <f>CREDITS!F19</f>
        <v>0</v>
      </c>
      <c r="H12" s="24">
        <f>GATE!D19</f>
        <v>0</v>
      </c>
      <c r="I12" s="24">
        <f>GATE!E19</f>
        <v>0</v>
      </c>
      <c r="J12" s="24">
        <f>BANNER!E19</f>
        <v>0</v>
      </c>
      <c r="K12" s="24">
        <f>BANNER!D19</f>
        <v>0</v>
      </c>
      <c r="L12" s="24"/>
      <c r="M12" s="24">
        <f t="shared" si="0"/>
        <v>0</v>
      </c>
      <c r="N12" s="35">
        <f t="shared" si="1"/>
        <v>0</v>
      </c>
      <c r="O12" s="24">
        <f>CREDITS!G19</f>
        <v>0</v>
      </c>
      <c r="P12" s="24">
        <f>CREDITS!H19</f>
        <v>0</v>
      </c>
      <c r="Q12" s="24">
        <f>CREDITS!I19</f>
        <v>0</v>
      </c>
    </row>
    <row r="13" spans="1:17" ht="18.75">
      <c r="A13" s="19" t="str">
        <f>CREDITS!A20</f>
        <v>Sep 2016- Aug 2017: Semester 3 (201730)</v>
      </c>
      <c r="B13" s="20">
        <f>CREDITS!B20</f>
        <v>0</v>
      </c>
      <c r="C13" s="20">
        <f>CREDITS!C20</f>
        <v>0</v>
      </c>
      <c r="D13" s="20">
        <f>CREDITS!D20</f>
        <v>0</v>
      </c>
      <c r="E13" s="20">
        <f>CREDITS!E20</f>
        <v>0</v>
      </c>
      <c r="F13" s="32">
        <f>GATE!B20</f>
        <v>1</v>
      </c>
      <c r="G13" s="20">
        <f>CREDITS!F20</f>
        <v>0</v>
      </c>
      <c r="H13" s="20">
        <f>GATE!D20</f>
        <v>0</v>
      </c>
      <c r="I13" s="20">
        <f>GATE!E20</f>
        <v>0</v>
      </c>
      <c r="J13" s="20">
        <f>BANNER!E20</f>
        <v>0</v>
      </c>
      <c r="K13" s="20">
        <f>BANNER!D20</f>
        <v>0</v>
      </c>
      <c r="L13" s="20"/>
      <c r="M13" s="20">
        <f t="shared" si="0"/>
        <v>0</v>
      </c>
      <c r="N13" s="25">
        <f t="shared" si="1"/>
        <v>0</v>
      </c>
      <c r="O13" s="20">
        <f>CREDITS!G20</f>
        <v>0</v>
      </c>
      <c r="P13" s="20">
        <f>CREDITS!H20</f>
        <v>0</v>
      </c>
      <c r="Q13" s="20">
        <f>CREDITS!I20</f>
        <v>0</v>
      </c>
    </row>
    <row r="14" spans="1:17" ht="18.75">
      <c r="A14" s="23" t="str">
        <f>CREDITS!A21</f>
        <v>Sep 2017- Aug 2018: Semester 1 (201810)</v>
      </c>
      <c r="B14" s="24">
        <f>CREDITS!B21</f>
        <v>0</v>
      </c>
      <c r="C14" s="24">
        <f>CREDITS!C21</f>
        <v>0</v>
      </c>
      <c r="D14" s="24">
        <f>CREDITS!D21</f>
        <v>0</v>
      </c>
      <c r="E14" s="24">
        <f>CREDITS!E21</f>
        <v>0</v>
      </c>
      <c r="F14" s="33">
        <f>GATE!B21</f>
        <v>1</v>
      </c>
      <c r="G14" s="24">
        <f>CREDITS!F21</f>
        <v>0</v>
      </c>
      <c r="H14" s="24">
        <f>GATE!D21</f>
        <v>0</v>
      </c>
      <c r="I14" s="24">
        <f>GATE!E21</f>
        <v>0</v>
      </c>
      <c r="J14" s="24">
        <f>BANNER!E21</f>
        <v>0</v>
      </c>
      <c r="K14" s="24">
        <f>BANNER!D21</f>
        <v>0</v>
      </c>
      <c r="L14" s="24"/>
      <c r="M14" s="24">
        <f t="shared" si="0"/>
        <v>0</v>
      </c>
      <c r="N14" s="35">
        <f t="shared" si="1"/>
        <v>0</v>
      </c>
      <c r="O14" s="24">
        <f>CREDITS!G21</f>
        <v>0</v>
      </c>
      <c r="P14" s="24">
        <f>CREDITS!H21</f>
        <v>0</v>
      </c>
      <c r="Q14" s="24">
        <f>CREDITS!I21</f>
        <v>0</v>
      </c>
    </row>
    <row r="15" spans="1:17" ht="18.75">
      <c r="A15" s="19" t="str">
        <f>CREDITS!A22</f>
        <v>Sep 2017- Aug 2018: Semester 2 (201820)</v>
      </c>
      <c r="B15" s="20">
        <f>CREDITS!B22</f>
        <v>0</v>
      </c>
      <c r="C15" s="20">
        <f>CREDITS!C22</f>
        <v>0</v>
      </c>
      <c r="D15" s="20">
        <f>CREDITS!D22</f>
        <v>0</v>
      </c>
      <c r="E15" s="20">
        <f>CREDITS!E22</f>
        <v>0</v>
      </c>
      <c r="F15" s="32">
        <f>GATE!B22</f>
        <v>1</v>
      </c>
      <c r="G15" s="20">
        <f>CREDITS!F22</f>
        <v>0</v>
      </c>
      <c r="H15" s="20">
        <f>GATE!D22</f>
        <v>0</v>
      </c>
      <c r="I15" s="20">
        <f>GATE!E22</f>
        <v>0</v>
      </c>
      <c r="J15" s="20">
        <f>BANNER!E22</f>
        <v>0</v>
      </c>
      <c r="K15" s="20">
        <f>BANNER!D22</f>
        <v>0</v>
      </c>
      <c r="L15" s="20"/>
      <c r="M15" s="20">
        <f t="shared" si="0"/>
        <v>0</v>
      </c>
      <c r="N15" s="25">
        <f t="shared" si="1"/>
        <v>0</v>
      </c>
      <c r="O15" s="20">
        <f>CREDITS!G22</f>
        <v>0</v>
      </c>
      <c r="P15" s="20">
        <f>CREDITS!H22</f>
        <v>0</v>
      </c>
      <c r="Q15" s="20">
        <f>CREDITS!I22</f>
        <v>0</v>
      </c>
    </row>
    <row r="16" spans="1:17" ht="18.75">
      <c r="A16" s="23" t="str">
        <f>CREDITS!A23</f>
        <v>Sep 2017- Aug 2018: Semester 3 (201830)</v>
      </c>
      <c r="B16" s="24">
        <f>CREDITS!B23</f>
        <v>0</v>
      </c>
      <c r="C16" s="24">
        <f>CREDITS!C23</f>
        <v>0</v>
      </c>
      <c r="D16" s="24">
        <f>CREDITS!D23</f>
        <v>0</v>
      </c>
      <c r="E16" s="24">
        <f>CREDITS!E23</f>
        <v>0</v>
      </c>
      <c r="F16" s="33">
        <f>GATE!B23</f>
        <v>1</v>
      </c>
      <c r="G16" s="24">
        <f>CREDITS!F23</f>
        <v>0</v>
      </c>
      <c r="H16" s="24">
        <f>GATE!D23</f>
        <v>0</v>
      </c>
      <c r="I16" s="24">
        <f>GATE!E23</f>
        <v>0</v>
      </c>
      <c r="J16" s="24">
        <f>BANNER!E23</f>
        <v>0</v>
      </c>
      <c r="K16" s="24">
        <f>BANNER!D23</f>
        <v>0</v>
      </c>
      <c r="L16" s="24"/>
      <c r="M16" s="24">
        <f t="shared" si="0"/>
        <v>0</v>
      </c>
      <c r="N16" s="35">
        <f t="shared" si="1"/>
        <v>0</v>
      </c>
      <c r="O16" s="24">
        <f>CREDITS!G23</f>
        <v>0</v>
      </c>
      <c r="P16" s="24">
        <f>CREDITS!H23</f>
        <v>0</v>
      </c>
      <c r="Q16" s="24">
        <f>CREDITS!I23</f>
        <v>0</v>
      </c>
    </row>
    <row r="17" spans="1:17" ht="18.75">
      <c r="A17" s="19" t="str">
        <f>CREDITS!A24</f>
        <v>Sep 2018- Aug 2019: Semester 1 (201910)</v>
      </c>
      <c r="B17" s="20">
        <f>CREDITS!B24</f>
        <v>0</v>
      </c>
      <c r="C17" s="20">
        <f>CREDITS!C24</f>
        <v>0</v>
      </c>
      <c r="D17" s="20">
        <f>CREDITS!D24</f>
        <v>0</v>
      </c>
      <c r="E17" s="20">
        <f>CREDITS!E24</f>
        <v>0</v>
      </c>
      <c r="F17" s="32">
        <f>GATE!B24</f>
        <v>1</v>
      </c>
      <c r="G17" s="20">
        <f>CREDITS!F24</f>
        <v>0</v>
      </c>
      <c r="H17" s="20">
        <f>GATE!D24</f>
        <v>0</v>
      </c>
      <c r="I17" s="20">
        <f>GATE!E24</f>
        <v>0</v>
      </c>
      <c r="J17" s="20">
        <f>BANNER!E24</f>
        <v>0</v>
      </c>
      <c r="K17" s="20">
        <f>BANNER!D24</f>
        <v>0</v>
      </c>
      <c r="L17" s="20"/>
      <c r="M17" s="20">
        <f t="shared" si="0"/>
        <v>0</v>
      </c>
      <c r="N17" s="25">
        <f t="shared" si="1"/>
        <v>0</v>
      </c>
      <c r="O17" s="20">
        <f>CREDITS!G24</f>
        <v>0</v>
      </c>
      <c r="P17" s="20">
        <f>CREDITS!H24</f>
        <v>0</v>
      </c>
      <c r="Q17" s="20">
        <f>CREDITS!I24</f>
        <v>0</v>
      </c>
    </row>
    <row r="18" spans="1:17" ht="18.75">
      <c r="A18" s="23" t="str">
        <f>CREDITS!A25</f>
        <v>Sep 2018- Aug 2019: Semester 2 (201920)</v>
      </c>
      <c r="B18" s="24">
        <f>CREDITS!B25</f>
        <v>0</v>
      </c>
      <c r="C18" s="24">
        <f>CREDITS!C25</f>
        <v>0</v>
      </c>
      <c r="D18" s="24">
        <f>CREDITS!D25</f>
        <v>0</v>
      </c>
      <c r="E18" s="24">
        <f>CREDITS!E25</f>
        <v>0</v>
      </c>
      <c r="F18" s="33">
        <f>GATE!B25</f>
        <v>1</v>
      </c>
      <c r="G18" s="24">
        <f>CREDITS!F25</f>
        <v>0</v>
      </c>
      <c r="H18" s="24">
        <f>GATE!D25</f>
        <v>0</v>
      </c>
      <c r="I18" s="24">
        <f>GATE!E25</f>
        <v>0</v>
      </c>
      <c r="J18" s="24">
        <f>BANNER!E25</f>
        <v>0</v>
      </c>
      <c r="K18" s="24">
        <f>BANNER!D25</f>
        <v>0</v>
      </c>
      <c r="L18" s="24"/>
      <c r="M18" s="24">
        <f t="shared" si="0"/>
        <v>0</v>
      </c>
      <c r="N18" s="35">
        <f t="shared" si="1"/>
        <v>0</v>
      </c>
      <c r="O18" s="24">
        <f>CREDITS!G25</f>
        <v>0</v>
      </c>
      <c r="P18" s="24">
        <f>CREDITS!H25</f>
        <v>0</v>
      </c>
      <c r="Q18" s="24">
        <f>CREDITS!I25</f>
        <v>0</v>
      </c>
    </row>
    <row r="19" spans="1:17" ht="18.75">
      <c r="A19" s="19" t="str">
        <f>CREDITS!A26</f>
        <v>Sep 2018- Aug 2019: Semester 3 (201930)</v>
      </c>
      <c r="B19" s="20">
        <f>CREDITS!B26</f>
        <v>0</v>
      </c>
      <c r="C19" s="20">
        <f>CREDITS!C26</f>
        <v>0</v>
      </c>
      <c r="D19" s="20">
        <f>CREDITS!D26</f>
        <v>0</v>
      </c>
      <c r="E19" s="20">
        <f>CREDITS!E26</f>
        <v>0</v>
      </c>
      <c r="F19" s="32">
        <f>GATE!B26</f>
        <v>1</v>
      </c>
      <c r="G19" s="20">
        <f>CREDITS!F26</f>
        <v>0</v>
      </c>
      <c r="H19" s="20">
        <f>GATE!D26</f>
        <v>0</v>
      </c>
      <c r="I19" s="20">
        <f>GATE!E26</f>
        <v>0</v>
      </c>
      <c r="J19" s="20">
        <f>BANNER!E26</f>
        <v>0</v>
      </c>
      <c r="K19" s="20">
        <f>BANNER!D26</f>
        <v>0</v>
      </c>
      <c r="L19" s="20"/>
      <c r="M19" s="20">
        <f t="shared" si="0"/>
        <v>0</v>
      </c>
      <c r="N19" s="25">
        <f t="shared" si="1"/>
        <v>0</v>
      </c>
      <c r="O19" s="20">
        <f>CREDITS!G26</f>
        <v>0</v>
      </c>
      <c r="P19" s="20">
        <f>CREDITS!H26</f>
        <v>0</v>
      </c>
      <c r="Q19" s="20">
        <f>CREDITS!I26</f>
        <v>0</v>
      </c>
    </row>
    <row r="20" spans="1:17" ht="18.75">
      <c r="A20" s="23" t="str">
        <f>CREDITS!A27</f>
        <v>Sep 2019- Aug 2020: Semester 1 (202010)</v>
      </c>
      <c r="B20" s="24">
        <f>CREDITS!B27</f>
        <v>0</v>
      </c>
      <c r="C20" s="24">
        <f>CREDITS!C27</f>
        <v>0</v>
      </c>
      <c r="D20" s="24">
        <f>CREDITS!D27</f>
        <v>0</v>
      </c>
      <c r="E20" s="24">
        <f>CREDITS!E27</f>
        <v>0</v>
      </c>
      <c r="F20" s="33">
        <f>GATE!B27</f>
        <v>1</v>
      </c>
      <c r="G20" s="24">
        <f>CREDITS!F27</f>
        <v>0</v>
      </c>
      <c r="H20" s="24">
        <f>GATE!D27</f>
        <v>0</v>
      </c>
      <c r="I20" s="24">
        <f>GATE!E27</f>
        <v>0</v>
      </c>
      <c r="J20" s="24">
        <f>BANNER!E27</f>
        <v>0</v>
      </c>
      <c r="K20" s="24">
        <f>BANNER!D27</f>
        <v>0</v>
      </c>
      <c r="L20" s="24"/>
      <c r="M20" s="24">
        <f t="shared" si="0"/>
        <v>0</v>
      </c>
      <c r="N20" s="35">
        <f t="shared" si="1"/>
        <v>0</v>
      </c>
      <c r="O20" s="24">
        <f>CREDITS!G27</f>
        <v>0</v>
      </c>
      <c r="P20" s="24">
        <f>CREDITS!H27</f>
        <v>0</v>
      </c>
      <c r="Q20" s="24">
        <f>CREDITS!I27</f>
        <v>0</v>
      </c>
    </row>
    <row r="21" spans="1:17" ht="18.75">
      <c r="A21" s="19" t="str">
        <f>CREDITS!A28</f>
        <v>Sep 2019- Aug 2020: Semester 2 (202020)</v>
      </c>
      <c r="B21" s="20">
        <f>CREDITS!B28</f>
        <v>0</v>
      </c>
      <c r="C21" s="20">
        <f>CREDITS!C28</f>
        <v>0</v>
      </c>
      <c r="D21" s="20">
        <f>CREDITS!D28</f>
        <v>0</v>
      </c>
      <c r="E21" s="20">
        <f>CREDITS!E28</f>
        <v>0</v>
      </c>
      <c r="F21" s="32">
        <f>GATE!B28</f>
        <v>1</v>
      </c>
      <c r="G21" s="20">
        <f>CREDITS!F28</f>
        <v>0</v>
      </c>
      <c r="H21" s="20">
        <f>GATE!D28</f>
        <v>0</v>
      </c>
      <c r="I21" s="20">
        <f>GATE!E28</f>
        <v>0</v>
      </c>
      <c r="J21" s="20">
        <f>BANNER!E28</f>
        <v>0</v>
      </c>
      <c r="K21" s="20">
        <f>BANNER!D28</f>
        <v>0</v>
      </c>
      <c r="L21" s="20"/>
      <c r="M21" s="20">
        <f t="shared" si="0"/>
        <v>0</v>
      </c>
      <c r="N21" s="25">
        <f t="shared" si="1"/>
        <v>0</v>
      </c>
      <c r="O21" s="20">
        <f>CREDITS!G28</f>
        <v>0</v>
      </c>
      <c r="P21" s="20">
        <f>CREDITS!H28</f>
        <v>0</v>
      </c>
      <c r="Q21" s="20">
        <f>CREDITS!I28</f>
        <v>0</v>
      </c>
    </row>
    <row r="22" spans="1:17" ht="18.75">
      <c r="A22" s="23" t="str">
        <f>CREDITS!A29</f>
        <v>Sep 2020- Aug 2021: Semester 1 (202110)</v>
      </c>
      <c r="B22" s="24">
        <f>CREDITS!B29</f>
        <v>0</v>
      </c>
      <c r="C22" s="24">
        <f>CREDITS!C29</f>
        <v>0</v>
      </c>
      <c r="D22" s="24">
        <f>CREDITS!D29</f>
        <v>0</v>
      </c>
      <c r="E22" s="24">
        <f>CREDITS!E29</f>
        <v>0</v>
      </c>
      <c r="F22" s="33">
        <f>GATE!B29</f>
        <v>1</v>
      </c>
      <c r="G22" s="24">
        <f>CREDITS!F29</f>
        <v>0</v>
      </c>
      <c r="H22" s="24">
        <f>GATE!D29</f>
        <v>0</v>
      </c>
      <c r="I22" s="24">
        <f>GATE!E29</f>
        <v>0</v>
      </c>
      <c r="J22" s="24">
        <f>BANNER!E29</f>
        <v>0</v>
      </c>
      <c r="K22" s="24">
        <f>BANNER!D29</f>
        <v>0</v>
      </c>
      <c r="L22" s="24"/>
      <c r="M22" s="24">
        <f t="shared" si="0"/>
        <v>0</v>
      </c>
      <c r="N22" s="35">
        <f t="shared" si="1"/>
        <v>0</v>
      </c>
      <c r="O22" s="24">
        <f>CREDITS!G29</f>
        <v>0</v>
      </c>
      <c r="P22" s="24">
        <f>CREDITS!H29</f>
        <v>0</v>
      </c>
      <c r="Q22" s="24">
        <f>CREDITS!I29</f>
        <v>0</v>
      </c>
    </row>
    <row r="23" spans="1:17" ht="18.75">
      <c r="A23" s="19" t="str">
        <f>CREDITS!A30</f>
        <v>Sep 2020- Aug 2021: Semester 2 (202120)</v>
      </c>
      <c r="B23" s="28">
        <f>CREDITS!B30</f>
        <v>0</v>
      </c>
      <c r="C23" s="20">
        <f>CREDITS!C30</f>
        <v>0</v>
      </c>
      <c r="D23" s="20">
        <f>CREDITS!D30</f>
        <v>0</v>
      </c>
      <c r="E23" s="20">
        <f>CREDITS!E30</f>
        <v>0</v>
      </c>
      <c r="F23" s="32">
        <f>GATE!B30</f>
        <v>1</v>
      </c>
      <c r="G23" s="28">
        <f>CREDITS!F30</f>
        <v>0</v>
      </c>
      <c r="H23" s="20">
        <f>GATE!D30</f>
        <v>0</v>
      </c>
      <c r="I23" s="20">
        <f>GATE!E30</f>
        <v>0</v>
      </c>
      <c r="J23" s="20">
        <f>BANNER!E30</f>
        <v>0</v>
      </c>
      <c r="K23" s="28">
        <f>BANNER!D30</f>
        <v>0</v>
      </c>
      <c r="L23" s="19"/>
      <c r="M23" s="20">
        <f t="shared" si="0"/>
        <v>0</v>
      </c>
      <c r="N23" s="25">
        <f t="shared" si="1"/>
        <v>0</v>
      </c>
      <c r="O23" s="20">
        <f>CREDITS!G30</f>
        <v>0</v>
      </c>
      <c r="P23" s="20">
        <f>CREDITS!H30</f>
        <v>0</v>
      </c>
      <c r="Q23" s="20">
        <f>CREDITS!I30</f>
        <v>0</v>
      </c>
    </row>
    <row r="24" spans="1:17" ht="18.75">
      <c r="A24" s="23" t="str">
        <f>CREDITS!A31</f>
        <v>Sep 2021- Aug 2022: Semester 1 (202210)</v>
      </c>
      <c r="B24" s="24">
        <f>CREDITS!B31</f>
        <v>0</v>
      </c>
      <c r="C24" s="24">
        <f>CREDITS!C31</f>
        <v>0</v>
      </c>
      <c r="D24" s="24">
        <f>CREDITS!D31</f>
        <v>0</v>
      </c>
      <c r="E24" s="24">
        <f>CREDITS!E31</f>
        <v>0</v>
      </c>
      <c r="F24" s="33">
        <f>GATE!B31</f>
        <v>1</v>
      </c>
      <c r="G24" s="24">
        <f>CREDITS!F31</f>
        <v>0</v>
      </c>
      <c r="H24" s="24">
        <f>GATE!D31</f>
        <v>0</v>
      </c>
      <c r="I24" s="24">
        <f>GATE!E31</f>
        <v>0</v>
      </c>
      <c r="J24" s="24">
        <f>BANNER!E31</f>
        <v>0</v>
      </c>
      <c r="K24" s="24">
        <f>BANNER!D31</f>
        <v>0</v>
      </c>
      <c r="L24" s="24"/>
      <c r="M24" s="24">
        <f t="shared" si="0"/>
        <v>0</v>
      </c>
      <c r="N24" s="35">
        <f t="shared" si="1"/>
        <v>0</v>
      </c>
      <c r="O24" s="24">
        <f>CREDITS!G31</f>
        <v>0</v>
      </c>
      <c r="P24" s="24">
        <f>CREDITS!H31</f>
        <v>0</v>
      </c>
      <c r="Q24" s="24">
        <f>CREDITS!I31</f>
        <v>0</v>
      </c>
    </row>
    <row r="25" spans="1:17" ht="18.75">
      <c r="A25" s="23" t="str">
        <f>CREDITS!A32</f>
        <v>Sep 2021- Aug 2022: Semester 2 (202220)</v>
      </c>
      <c r="B25" s="24">
        <f>CREDITS!B32</f>
        <v>0</v>
      </c>
      <c r="C25" s="24">
        <f>CREDITS!C32</f>
        <v>0</v>
      </c>
      <c r="D25" s="24">
        <f>CREDITS!D32</f>
        <v>0</v>
      </c>
      <c r="E25" s="24">
        <f>CREDITS!E32</f>
        <v>0</v>
      </c>
      <c r="F25" s="33">
        <f>GATE!B32</f>
        <v>1</v>
      </c>
      <c r="G25" s="24">
        <f>CREDITS!F32</f>
        <v>0</v>
      </c>
      <c r="H25" s="24">
        <f>GATE!D32</f>
        <v>0</v>
      </c>
      <c r="I25" s="24">
        <f>GATE!E32</f>
        <v>0</v>
      </c>
      <c r="J25" s="24">
        <f>BANNER!E32</f>
        <v>0</v>
      </c>
      <c r="K25" s="24">
        <f>BANNER!D32</f>
        <v>0</v>
      </c>
      <c r="L25" s="24"/>
      <c r="M25" s="24">
        <f t="shared" ref="M25" si="2">H25-I25</f>
        <v>0</v>
      </c>
      <c r="N25" s="35">
        <f t="shared" ref="N25" si="3">G25-H25-J25+K25</f>
        <v>0</v>
      </c>
      <c r="O25" s="24">
        <f>CREDITS!G32</f>
        <v>0</v>
      </c>
      <c r="P25" s="24">
        <f>CREDITS!H32</f>
        <v>0</v>
      </c>
      <c r="Q25" s="24">
        <f>CREDITS!I32</f>
        <v>0</v>
      </c>
    </row>
    <row r="26" spans="1:17" ht="18.75">
      <c r="A26" s="21" t="s">
        <v>0</v>
      </c>
      <c r="B26" s="22">
        <f>SUM(B3:B25)</f>
        <v>30</v>
      </c>
      <c r="C26" s="22">
        <f>SUM(C3:C25)</f>
        <v>30</v>
      </c>
      <c r="D26" s="22">
        <f>SUM(D3:D25)</f>
        <v>0</v>
      </c>
      <c r="E26" s="22">
        <f>SUM(E3:E25)</f>
        <v>0</v>
      </c>
      <c r="F26" s="22"/>
      <c r="G26" s="22">
        <f>CREDITS!F33</f>
        <v>9000</v>
      </c>
      <c r="H26" s="22"/>
      <c r="I26" s="22">
        <f>GATE!E33</f>
        <v>0</v>
      </c>
      <c r="J26" s="22">
        <f>SUM(J3:J25)</f>
        <v>0</v>
      </c>
      <c r="K26" s="22">
        <f>SUM(K3:K25)</f>
        <v>0</v>
      </c>
      <c r="L26" s="22"/>
      <c r="M26" s="22">
        <f>SUM(M3:M25)</f>
        <v>0</v>
      </c>
      <c r="N26" s="22">
        <f>SUM(N3:N25)</f>
        <v>4500</v>
      </c>
      <c r="O26" s="22">
        <f>CREDITS!G33</f>
        <v>9000</v>
      </c>
      <c r="P26" s="22">
        <f>CREDITS!H33</f>
        <v>0</v>
      </c>
      <c r="Q26" s="22">
        <f>CREDITS!I33</f>
        <v>0</v>
      </c>
    </row>
    <row r="27" spans="1:17" s="8" customFormat="1" ht="18.75">
      <c r="A27" s="6" t="str">
        <f>CREDITS!$A$36</f>
        <v>Confirmed By: CMBirwar 2nd June 2022</v>
      </c>
    </row>
  </sheetData>
  <pageMargins left="0.70866141732283472" right="0.70866141732283472" top="0.74803149606299213" bottom="0.74803149606299213" header="0.31496062992125984" footer="0.31496062992125984"/>
  <pageSetup paperSize="5"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Status!$A$4:$A$17</xm:f>
          </x14:formula1>
          <xm:sqref>L3:L25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17"/>
  <sheetViews>
    <sheetView topLeftCell="A3" workbookViewId="0">
      <selection activeCell="A23" sqref="A23"/>
    </sheetView>
  </sheetViews>
  <sheetFormatPr defaultRowHeight="15"/>
  <cols>
    <col min="1" max="1" width="29.28515625" customWidth="1"/>
    <col min="3" max="3" width="19.28515625" customWidth="1"/>
  </cols>
  <sheetData>
    <row r="1" spans="1:5" ht="45">
      <c r="A1" s="64" t="s">
        <v>26</v>
      </c>
      <c r="B1" s="64"/>
      <c r="C1" s="64"/>
      <c r="D1" s="65" t="s">
        <v>27</v>
      </c>
      <c r="E1" s="65"/>
    </row>
    <row r="2" spans="1:5" ht="88.5" customHeight="1">
      <c r="A2" s="66" t="s">
        <v>28</v>
      </c>
      <c r="B2" s="66"/>
      <c r="C2" s="66"/>
      <c r="D2" s="66"/>
      <c r="E2" s="66"/>
    </row>
    <row r="3" spans="1:5" ht="37.5">
      <c r="A3" s="31" t="s">
        <v>17</v>
      </c>
      <c r="B3" s="30"/>
      <c r="C3" s="67"/>
      <c r="D3" s="67"/>
      <c r="E3" s="67"/>
    </row>
    <row r="4" spans="1:5">
      <c r="A4" s="38" t="s">
        <v>36</v>
      </c>
      <c r="B4" s="30"/>
      <c r="C4" s="30"/>
      <c r="E4" s="30"/>
    </row>
    <row r="5" spans="1:5">
      <c r="A5" s="38" t="s">
        <v>35</v>
      </c>
      <c r="B5" s="30"/>
      <c r="C5" s="30"/>
      <c r="E5" s="30"/>
    </row>
    <row r="6" spans="1:5">
      <c r="A6" s="39" t="s">
        <v>37</v>
      </c>
      <c r="B6" s="30"/>
      <c r="C6" s="30"/>
      <c r="E6" s="30"/>
    </row>
    <row r="7" spans="1:5">
      <c r="A7" s="38" t="s">
        <v>38</v>
      </c>
      <c r="B7" s="30"/>
      <c r="C7" s="30"/>
      <c r="E7" s="30"/>
    </row>
    <row r="8" spans="1:5">
      <c r="A8" s="40" t="s">
        <v>39</v>
      </c>
      <c r="B8" s="30"/>
      <c r="C8" s="30"/>
      <c r="E8" s="30"/>
    </row>
    <row r="9" spans="1:5">
      <c r="A9" s="38" t="s">
        <v>33</v>
      </c>
      <c r="B9" s="30"/>
      <c r="C9" s="30"/>
      <c r="E9" s="30"/>
    </row>
    <row r="10" spans="1:5">
      <c r="A10" s="37" t="s">
        <v>40</v>
      </c>
      <c r="B10" s="30"/>
      <c r="C10" s="30"/>
      <c r="E10" s="30"/>
    </row>
    <row r="11" spans="1:5">
      <c r="A11" s="38" t="s">
        <v>29</v>
      </c>
      <c r="B11" s="30"/>
      <c r="C11" s="30"/>
      <c r="E11" s="30"/>
    </row>
    <row r="12" spans="1:5">
      <c r="A12" s="37" t="s">
        <v>32</v>
      </c>
      <c r="B12" s="30"/>
      <c r="C12" s="30"/>
      <c r="E12" s="30"/>
    </row>
    <row r="13" spans="1:5">
      <c r="A13" s="37" t="s">
        <v>34</v>
      </c>
      <c r="B13" s="30"/>
      <c r="C13" s="30"/>
      <c r="E13" s="30"/>
    </row>
    <row r="14" spans="1:5">
      <c r="A14" s="38" t="s">
        <v>30</v>
      </c>
    </row>
    <row r="15" spans="1:5">
      <c r="A15" s="37" t="s">
        <v>31</v>
      </c>
    </row>
    <row r="16" spans="1:5">
      <c r="A16" s="37" t="s">
        <v>58</v>
      </c>
    </row>
    <row r="17" spans="1:1">
      <c r="A17" s="38" t="s">
        <v>55</v>
      </c>
    </row>
  </sheetData>
  <mergeCells count="4">
    <mergeCell ref="A1:C1"/>
    <mergeCell ref="D1:E1"/>
    <mergeCell ref="A2:E2"/>
    <mergeCell ref="C3:E3"/>
  </mergeCells>
  <dataValidations count="3">
    <dataValidation allowBlank="1" showInputMessage="1" showErrorMessage="1" prompt="Navigation link to To Do List worksheet" sqref="D1"/>
    <dataValidation allowBlank="1" showInputMessage="1" showErrorMessage="1" prompt="Title of this worksheet is in this cell, tip in cell below, and navigation link to To Do List worksheet in cell at right" sqref="A1"/>
    <dataValidation allowBlank="1" showInputMessage="1" showErrorMessage="1" prompt="Insert or modify Assigned To names in this column under this heading" sqref="A3"/>
  </dataValidations>
  <hyperlinks>
    <hyperlink ref="D1:E1" location="'To Do List'!A1" tooltip="Click to navigate to To Do List worksheet" display="&lt; To Do List"/>
  </hyperlink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CREDITS</vt:lpstr>
      <vt:lpstr>GATE</vt:lpstr>
      <vt:lpstr>BANNER</vt:lpstr>
      <vt:lpstr>SUMMARY</vt:lpstr>
      <vt:lpstr>QUICK GRID</vt:lpstr>
      <vt:lpstr>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Crystal Manickchand-Birwar</dc:creator>
  <cp:lastModifiedBy>Crystal Manickchand</cp:lastModifiedBy>
  <cp:lastPrinted>2018-08-27T19:18:48Z</cp:lastPrinted>
  <dcterms:created xsi:type="dcterms:W3CDTF">2017-08-10T19:25:29Z</dcterms:created>
  <dcterms:modified xsi:type="dcterms:W3CDTF">2022-06-02T12:07:03Z</dcterms:modified>
</cp:coreProperties>
</file>